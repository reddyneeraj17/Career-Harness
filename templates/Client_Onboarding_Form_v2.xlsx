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Lists" sheetId="2" state="hidden" r:id="rId2"/>
    <sheet xmlns:r="http://schemas.openxmlformats.org/officeDocument/2006/relationships" name="1 About You" sheetId="3" state="visible" r:id="rId3"/>
    <sheet xmlns:r="http://schemas.openxmlformats.org/officeDocument/2006/relationships" name="2 Work Authorization" sheetId="4" state="visible" r:id="rId4"/>
    <sheet xmlns:r="http://schemas.openxmlformats.org/officeDocument/2006/relationships" name="3 Resumes" sheetId="5" state="visible" r:id="rId5"/>
    <sheet xmlns:r="http://schemas.openxmlformats.org/officeDocument/2006/relationships" name="4 Experience Matrix" sheetId="6" state="visible" r:id="rId6"/>
    <sheet xmlns:r="http://schemas.openxmlformats.org/officeDocument/2006/relationships" name="5 Target Roles" sheetId="7" state="visible" r:id="rId7"/>
    <sheet xmlns:r="http://schemas.openxmlformats.org/officeDocument/2006/relationships" name="6 Preferences" sheetId="8" state="visible" r:id="rId8"/>
    <sheet xmlns:r="http://schemas.openxmlformats.org/officeDocument/2006/relationships" name="7 Screening Answers" sheetId="9" state="visible" r:id="rId9"/>
    <sheet xmlns:r="http://schemas.openxmlformats.org/officeDocument/2006/relationships" name="8 Accounts &amp; Connections" sheetId="10" state="visible" r:id="rId10"/>
    <sheet xmlns:r="http://schemas.openxmlformats.org/officeDocument/2006/relationships" name="9 Automation Settings" sheetId="11" state="visible" r:id="rId11"/>
    <sheet xmlns:r="http://schemas.openxmlformats.org/officeDocument/2006/relationships" name="10 Sign-off"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6B7480"/>
      <sz val="10"/>
    </font>
    <font>
      <name val="Arial"/>
      <charset val="1"/>
      <family val="0"/>
      <b val="1"/>
      <color rgb="FF1F3A5F"/>
      <sz val="11"/>
    </font>
    <font>
      <name val="Arial"/>
      <charset val="1"/>
      <family val="0"/>
      <color rgb="FF000000"/>
      <sz val="10"/>
    </font>
    <font>
      <name val="Arial"/>
      <charset val="1"/>
      <family val="0"/>
      <b val="1"/>
      <color rgb="FFFFFFFF"/>
      <sz val="10"/>
    </font>
    <font>
      <name val="Arial"/>
      <charset val="1"/>
      <family val="0"/>
      <b val="1"/>
      <color rgb="FF000000"/>
      <sz val="10"/>
    </font>
    <font>
      <name val="Arial"/>
      <charset val="1"/>
      <family val="0"/>
      <i val="1"/>
      <color rgb="FF6B7480"/>
      <sz val="9"/>
    </font>
    <font>
      <name val="Arial"/>
      <charset val="1"/>
      <family val="0"/>
      <b val="1"/>
      <color rgb="FF000000"/>
      <sz val="11"/>
    </font>
    <font>
      <name val="Arial"/>
      <charset val="1"/>
      <family val="0"/>
      <color rgb="FF0000FF"/>
      <sz val="10"/>
    </font>
    <font>
      <name val="Arial"/>
      <charset val="1"/>
      <family val="0"/>
      <color rgb="FF6B7480"/>
      <sz val="10"/>
    </font>
    <font>
      <name val="Arial"/>
      <charset val="1"/>
      <family val="0"/>
      <i val="1"/>
      <color rgb="FF1F3A5F"/>
      <sz val="9"/>
    </font>
  </fonts>
  <fills count="6">
    <fill>
      <patternFill/>
    </fill>
    <fill>
      <patternFill patternType="gray125"/>
    </fill>
    <fill>
      <patternFill patternType="solid">
        <fgColor rgb="FF1F3A5F"/>
        <bgColor rgb="FF333333"/>
      </patternFill>
    </fill>
    <fill>
      <patternFill patternType="solid">
        <fgColor rgb="FFEEF2F7"/>
        <bgColor rgb="FFE3F3EC"/>
      </patternFill>
    </fill>
    <fill>
      <patternFill patternType="solid">
        <fgColor rgb="FF44546A"/>
        <bgColor rgb="FF1F3A5F"/>
      </patternFill>
    </fill>
    <fill>
      <patternFill patternType="solid">
        <fgColor rgb="FFFFFFFF"/>
        <bgColor rgb="FFEEF2F7"/>
      </patternFill>
    </fill>
  </fills>
  <borders count="2">
    <border>
      <left/>
      <right/>
      <top/>
      <bottom/>
      <diagonal/>
    </border>
    <border>
      <left style="thin">
        <color rgb="FFC9D1DB"/>
      </left>
      <right style="thin">
        <color rgb="FFC9D1DB"/>
      </right>
      <top style="thin">
        <color rgb="FFC9D1DB"/>
      </top>
      <bottom style="thin">
        <color rgb="FFC9D1DB"/>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55">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general" vertical="top" wrapText="1" indent="1"/>
    </xf>
    <xf numFmtId="0" fontId="6" fillId="3" borderId="0" applyAlignment="1" pivotButton="0" quotePrefix="0" xfId="0">
      <alignment horizontal="general" vertical="center" indent="1"/>
    </xf>
    <xf numFmtId="0" fontId="7" fillId="0" borderId="0" applyAlignment="1" pivotButton="0" quotePrefix="0" xfId="0">
      <alignment horizontal="general" vertical="bottom" wrapText="1" indent="1"/>
    </xf>
    <xf numFmtId="0" fontId="8" fillId="4" borderId="1" applyAlignment="1" pivotButton="0" quotePrefix="0" xfId="0">
      <alignment horizontal="general" vertical="bottom"/>
    </xf>
    <xf numFmtId="0" fontId="9" fillId="0"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1" applyAlignment="1" pivotButton="0" quotePrefix="0" xfId="0">
      <alignment horizontal="general" vertical="bottom"/>
    </xf>
    <xf numFmtId="0" fontId="11" fillId="3" borderId="1" applyAlignment="1" pivotButton="0" quotePrefix="0" xfId="0">
      <alignment horizontal="general" vertical="bottom"/>
    </xf>
    <xf numFmtId="0" fontId="0" fillId="3" borderId="1" applyAlignment="1" pivotButton="0" quotePrefix="0" xfId="0">
      <alignment horizontal="general" vertical="bottom"/>
    </xf>
    <xf numFmtId="9" fontId="11" fillId="3" borderId="1" applyAlignment="1" pivotButton="0" quotePrefix="0" xfId="0">
      <alignment horizontal="general" vertical="bottom"/>
    </xf>
    <xf numFmtId="0" fontId="10" fillId="0" borderId="0" applyAlignment="1" pivotButton="0" quotePrefix="0" xfId="0">
      <alignment horizontal="general" vertical="top" wrapText="1" indent="1"/>
    </xf>
    <xf numFmtId="0" fontId="9" fillId="0" borderId="0" applyAlignment="1" pivotButton="0" quotePrefix="0" xfId="0">
      <alignment horizontal="general" vertical="bottom"/>
    </xf>
    <xf numFmtId="0" fontId="9" fillId="0" borderId="0" applyAlignment="1" pivotButton="0" quotePrefix="0" xfId="0">
      <alignment horizontal="general" vertical="top" wrapText="1" indent="1"/>
    </xf>
    <xf numFmtId="0" fontId="12" fillId="5" borderId="1" applyAlignment="1" pivotButton="0" quotePrefix="0" xfId="0">
      <alignment horizontal="general" vertical="top" wrapText="1"/>
    </xf>
    <xf numFmtId="0" fontId="10" fillId="0" borderId="0" applyAlignment="1" pivotButton="0" quotePrefix="0" xfId="0">
      <alignment horizontal="general" vertical="top" wrapText="1"/>
    </xf>
    <xf numFmtId="0" fontId="8" fillId="4" borderId="1" applyAlignment="1" pivotButton="0" quotePrefix="0" xfId="0">
      <alignment horizontal="general" vertical="center" wrapText="1"/>
    </xf>
    <xf numFmtId="0" fontId="13" fillId="5" borderId="1" applyAlignment="1" pivotButton="0" quotePrefix="0" xfId="0">
      <alignment horizontal="general" vertical="top" wrapText="1"/>
    </xf>
    <xf numFmtId="0" fontId="13" fillId="0" borderId="0" applyAlignment="1" pivotButton="0" quotePrefix="0" xfId="0">
      <alignment horizontal="general" vertical="bottom"/>
    </xf>
    <xf numFmtId="0" fontId="7" fillId="0" borderId="0" applyAlignment="1" pivotButton="0" quotePrefix="0" xfId="0">
      <alignment horizontal="general" vertical="top" wrapText="1"/>
    </xf>
    <xf numFmtId="0" fontId="9" fillId="0" borderId="0" applyAlignment="1" pivotButton="0" quotePrefix="0" xfId="0">
      <alignment horizontal="general" vertical="bottom" wrapText="1"/>
    </xf>
    <xf numFmtId="0" fontId="12" fillId="5" borderId="1" applyAlignment="1" pivotButton="0" quotePrefix="0" xfId="0">
      <alignment horizontal="general" vertical="bottom"/>
    </xf>
    <xf numFmtId="0" fontId="10" fillId="0" borderId="0" applyAlignment="1" pivotButton="0" quotePrefix="0" xfId="0">
      <alignment horizontal="general" vertical="bottom"/>
    </xf>
    <xf numFmtId="0" fontId="14" fillId="0" borderId="0" applyAlignment="1" pivotButton="0" quotePrefix="0" xfId="0">
      <alignment horizontal="general" vertical="top" wrapText="1" indent="1"/>
    </xf>
    <xf numFmtId="0" fontId="7" fillId="0" borderId="0" applyAlignment="1" pivotButton="0" quotePrefix="0" xfId="0">
      <alignment horizontal="general" vertical="top" wrapText="1" inden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general" vertical="top" wrapText="1" indent="1"/>
    </xf>
    <xf numFmtId="0" fontId="6" fillId="3" borderId="0" applyAlignment="1" pivotButton="0" quotePrefix="0" xfId="0">
      <alignment horizontal="general" vertical="center" indent="1"/>
    </xf>
    <xf numFmtId="0" fontId="7" fillId="0" borderId="0" applyAlignment="1" pivotButton="0" quotePrefix="0" xfId="0">
      <alignment horizontal="general" vertical="bottom" wrapText="1" indent="1"/>
    </xf>
    <xf numFmtId="0" fontId="8" fillId="4" borderId="1" applyAlignment="1" pivotButton="0" quotePrefix="0" xfId="0">
      <alignment horizontal="general" vertical="bottom"/>
    </xf>
    <xf numFmtId="0" fontId="9" fillId="0"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1" applyAlignment="1" pivotButton="0" quotePrefix="0" xfId="0">
      <alignment horizontal="general" vertical="bottom"/>
    </xf>
    <xf numFmtId="0" fontId="11" fillId="3" borderId="1" applyAlignment="1" pivotButton="0" quotePrefix="0" xfId="0">
      <alignment horizontal="general" vertical="bottom"/>
    </xf>
    <xf numFmtId="0" fontId="0" fillId="3" borderId="1" applyAlignment="1" pivotButton="0" quotePrefix="0" xfId="0">
      <alignment horizontal="general" vertical="bottom"/>
    </xf>
    <xf numFmtId="9" fontId="11" fillId="3" borderId="1" applyAlignment="1" pivotButton="0" quotePrefix="0" xfId="0">
      <alignment horizontal="general" vertical="bottom"/>
    </xf>
    <xf numFmtId="0" fontId="10" fillId="0" borderId="0" applyAlignment="1" pivotButton="0" quotePrefix="0" xfId="0">
      <alignment horizontal="general" vertical="top" wrapText="1" indent="1"/>
    </xf>
    <xf numFmtId="0" fontId="9" fillId="0" borderId="0" applyAlignment="1" pivotButton="0" quotePrefix="0" xfId="0">
      <alignment horizontal="general" vertical="bottom"/>
    </xf>
    <xf numFmtId="0" fontId="9" fillId="0" borderId="0" applyAlignment="1" pivotButton="0" quotePrefix="0" xfId="0">
      <alignment horizontal="general" vertical="top" wrapText="1" indent="1"/>
    </xf>
    <xf numFmtId="0" fontId="12" fillId="5" borderId="1" applyAlignment="1" pivotButton="0" quotePrefix="0" xfId="0">
      <alignment horizontal="general" vertical="top" wrapText="1"/>
    </xf>
    <xf numFmtId="0" fontId="10" fillId="0" borderId="0" applyAlignment="1" pivotButton="0" quotePrefix="0" xfId="0">
      <alignment horizontal="general" vertical="top" wrapText="1"/>
    </xf>
    <xf numFmtId="0" fontId="8" fillId="4" borderId="1" applyAlignment="1" pivotButton="0" quotePrefix="0" xfId="0">
      <alignment horizontal="general" vertical="center" wrapText="1"/>
    </xf>
    <xf numFmtId="0" fontId="13" fillId="5" borderId="1" applyAlignment="1" pivotButton="0" quotePrefix="0" xfId="0">
      <alignment horizontal="general" vertical="top" wrapText="1"/>
    </xf>
    <xf numFmtId="0" fontId="13" fillId="0" borderId="0" applyAlignment="1" pivotButton="0" quotePrefix="0" xfId="0">
      <alignment horizontal="general" vertical="bottom"/>
    </xf>
    <xf numFmtId="0" fontId="7" fillId="0" borderId="0" applyAlignment="1" pivotButton="0" quotePrefix="0" xfId="0">
      <alignment horizontal="general" vertical="top" wrapText="1"/>
    </xf>
    <xf numFmtId="0" fontId="9" fillId="0" borderId="0" applyAlignment="1" pivotButton="0" quotePrefix="0" xfId="0">
      <alignment horizontal="general" vertical="bottom" wrapText="1"/>
    </xf>
    <xf numFmtId="0" fontId="12" fillId="5" borderId="1" applyAlignment="1" pivotButton="0" quotePrefix="0" xfId="0">
      <alignment horizontal="general" vertical="bottom"/>
    </xf>
    <xf numFmtId="0" fontId="10" fillId="0" borderId="0" applyAlignment="1" pivotButton="0" quotePrefix="0" xfId="0">
      <alignment horizontal="general" vertical="bottom"/>
    </xf>
    <xf numFmtId="0" fontId="14" fillId="0" borderId="0" applyAlignment="1" pivotButton="0" quotePrefix="0" xfId="0">
      <alignment horizontal="general" vertical="top" wrapText="1" indent="1"/>
    </xf>
    <xf numFmtId="0" fontId="7" fillId="0" borderId="0" applyAlignment="1" pivotButton="0" quotePrefix="0" xfId="0">
      <alignment horizontal="general" vertical="top" wrapText="1" inden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E3F3EC"/>
        </patternFill>
      </fill>
    </dxf>
    <dxf>
      <fill>
        <patternFill>
          <bgColor rgb="FFFFF6D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5"/>
      <rgbColor rgb="FFE3F3EC"/>
      <rgbColor rgb="FF660066"/>
      <rgbColor rgb="FFFF8080"/>
      <rgbColor rgb="FF0066CC"/>
      <rgbColor rgb="FFC9D1DB"/>
      <rgbColor rgb="FF000080"/>
      <rgbColor rgb="FFFF00FF"/>
      <rgbColor rgb="FFFFFF00"/>
      <rgbColor rgb="FF00FFFF"/>
      <rgbColor rgb="FF800080"/>
      <rgbColor rgb="FF800000"/>
      <rgbColor rgb="FF008080"/>
      <rgbColor rgb="FF0000FF"/>
      <rgbColor rgb="FF00CCFF"/>
      <rgbColor rgb="FFEEF2F7"/>
      <rgbColor rgb="FFCCFFCC"/>
      <rgbColor rgb="FFFFFF99"/>
      <rgbColor rgb="FF99CCFF"/>
      <rgbColor rgb="FFFF99CC"/>
      <rgbColor rgb="FFCC99FF"/>
      <rgbColor rgb="FFFFCC99"/>
      <rgbColor rgb="FF3366FF"/>
      <rgbColor rgb="FF33CCCC"/>
      <rgbColor rgb="FF99CC00"/>
      <rgbColor rgb="FFFFCC00"/>
      <rgbColor rgb="FFFF9900"/>
      <rgbColor rgb="FFFF6600"/>
      <rgbColor rgb="FF6B7480"/>
      <rgbColor rgb="FF969696"/>
      <rgbColor rgb="FF1F3A5F"/>
      <rgbColor rgb="FF339966"/>
      <rgbColor rgb="FF003300"/>
      <rgbColor rgb="FF333300"/>
      <rgbColor rgb="FF993300"/>
      <rgbColor rgb="FF993366"/>
      <rgbColor rgb="FF44546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A5F"/>
    <outlinePr summaryBelow="1" summaryRight="1"/>
    <pageSetUpPr fitToPage="1"/>
  </sheetPr>
  <dimension ref="A1:E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27" min="1" max="1"/>
    <col width="16" customWidth="1" style="27" min="2" max="3"/>
    <col width="18" customWidth="1" style="27" min="4" max="4"/>
    <col width="50" customWidth="1" style="27" min="5" max="5"/>
  </cols>
  <sheetData>
    <row r="1" ht="30" customHeight="1" s="28">
      <c r="A1" s="29" t="inlineStr">
        <is>
          <t>Client Onboarding Form</t>
        </is>
      </c>
    </row>
    <row r="2" ht="31.5" customHeight="1" s="28">
      <c r="A2" s="30" t="inlineStr">
        <is>
          <t>Job-application harness setup. Work through the tabs left to right; the tracker below fills in as you go. Return the file plus your resume PDFs when the bar reads 100%.</t>
        </is>
      </c>
    </row>
    <row r="4" ht="21.75" customHeight="1" s="28">
      <c r="A4" s="31" t="inlineStr">
        <is>
          <t>How to fill this in</t>
        </is>
      </c>
    </row>
    <row r="5" ht="18" customHeight="1" s="28">
      <c r="A5" s="32" t="inlineStr">
        <is>
          <t>1.  Yellow cells are required. They turn white once filled.</t>
        </is>
      </c>
    </row>
    <row r="6" ht="18" customHeight="1" s="28">
      <c r="A6" s="32" t="inlineStr">
        <is>
          <t>2.  Blue text is yours. Grey italics are hints. Cells with a dropdown arrow have fixed choices.</t>
        </is>
      </c>
    </row>
    <row r="7" ht="18" customHeight="1" s="28">
      <c r="A7" s="32" t="inlineStr">
        <is>
          <t>3.  Answer exactly as you want it to appear on applications. We apply your answers word for word and never guess.</t>
        </is>
      </c>
    </row>
    <row r="8" ht="18" customHeight="1" s="28">
      <c r="A8" s="32" t="inlineStr">
        <is>
          <t>4.  Never write a password, one-time code or payment detail anywhere in this file.</t>
        </is>
      </c>
    </row>
    <row r="9" ht="18" customHeight="1" s="28">
      <c r="A9" s="32" t="inlineStr">
        <is>
          <t>5.  Resumes: attach the PDFs to your reply email and list the exact file names on tab 3.</t>
        </is>
      </c>
    </row>
    <row r="10" ht="18" customHeight="1" s="28">
      <c r="A10" s="32" t="inlineStr">
        <is>
          <t>6.  Not sure about a question? Leave it and write a note on tab 9; we will cover it in your setup call.</t>
        </is>
      </c>
    </row>
    <row r="12" ht="21.75" customHeight="1" s="28">
      <c r="A12" s="31" t="inlineStr">
        <is>
          <t>Completion tracker</t>
        </is>
      </c>
    </row>
    <row r="13" ht="15" customHeight="1" s="28">
      <c r="A13" s="33" t="inlineStr">
        <is>
          <t>Tab</t>
        </is>
      </c>
      <c r="B13" s="33" t="inlineStr">
        <is>
          <t>Required</t>
        </is>
      </c>
      <c r="C13" s="33" t="inlineStr">
        <is>
          <t>Filled</t>
        </is>
      </c>
      <c r="D13" s="33" t="inlineStr">
        <is>
          <t>Complete</t>
        </is>
      </c>
      <c r="E13" s="33" t="inlineStr">
        <is>
          <t>What it feeds</t>
        </is>
      </c>
    </row>
    <row r="14" ht="15" customHeight="1" s="28">
      <c r="A14" s="34" t="inlineStr">
        <is>
          <t>1 About You</t>
        </is>
      </c>
      <c r="B14" s="35">
        <f>1 + 1 + 1 + 1 + 1 + 1 + 1 + 1 + 1 + 1 + 1 + 1 + 1</f>
        <v/>
      </c>
      <c r="C14" s="35">
        <f>COUNTA('1 About You'!B5) + COUNTA('1 About You'!B7) + COUNTA('1 About You'!B8) + COUNTA('1 About You'!B9) + COUNTA('1 About You'!B10) + COUNTA('1 About You'!B11) + COUNTA('1 About You'!B15) + COUNTA('1 About You'!B20) + COUNTA('1 About You'!B21) + COUNTA('1 About You'!B22) + COUNTA('1 About You'!B23) + COUNTA('1 About You'!B24) + COUNTA('1 About You'!B26)</f>
        <v/>
      </c>
      <c r="D14" s="36">
        <f>IF(B14=0,1,MIN(1,C14/B14))</f>
        <v/>
      </c>
      <c r="E14" s="37" t="inlineStr">
        <is>
          <t>Identity fields on every form</t>
        </is>
      </c>
    </row>
    <row r="15" ht="15" customHeight="1" s="28">
      <c r="A15" s="34" t="inlineStr">
        <is>
          <t>2 Work Authorization</t>
        </is>
      </c>
      <c r="B15" s="35">
        <f>1 + 1 + 1 + 1 + 1 + 1</f>
        <v/>
      </c>
      <c r="C15" s="35">
        <f>COUNTA('2 Work Authorization'!B5) + COUNTA('2 Work Authorization'!B7) + COUNTA('2 Work Authorization'!B8) + COUNTA('2 Work Authorization'!B11) + COUNTA('2 Work Authorization'!B12) + COUNTA('2 Work Authorization'!B13)</f>
        <v/>
      </c>
      <c r="D15" s="36">
        <f>IF(B15=0,1,MIN(1,C15/B15))</f>
        <v/>
      </c>
      <c r="E15" s="37" t="inlineStr">
        <is>
          <t>Visa answers and the sponsorship filter</t>
        </is>
      </c>
    </row>
    <row r="16" ht="15" customHeight="1" s="28">
      <c r="A16" s="34" t="inlineStr">
        <is>
          <t>3 Resumes</t>
        </is>
      </c>
      <c r="B16" s="35">
        <f>ROWS('3 Resumes'!B6:B17) + ROWS('3 Resumes'!C6:C17) + ROWS('3 Resumes'!D6:D17) + 1 + 1</f>
        <v/>
      </c>
      <c r="C16" s="35">
        <f>COUNTA('3 Resumes'!B6:B17) + COUNTA('3 Resumes'!C6:C17) + COUNTA('3 Resumes'!D6:D17) + COUNTA('3 Resumes'!B20) + COUNTA('3 Resumes'!B22)</f>
        <v/>
      </c>
      <c r="D16" s="36">
        <f>IF(B16=0,1,MIN(1,C16/B16))</f>
        <v/>
      </c>
      <c r="E16" s="37" t="inlineStr">
        <is>
          <t>Which resume is picked per job</t>
        </is>
      </c>
    </row>
    <row r="17" ht="15" customHeight="1" s="28">
      <c r="A17" s="34" t="inlineStr">
        <is>
          <t>4 Experience Matrix</t>
        </is>
      </c>
      <c r="B17" s="35">
        <f>ROWS('4 Experience Matrix'!B5:B34) + ROWS('4 Experience Matrix'!D5:D34) + ROWS('4 Experience Matrix'!B38:B43) + ROWS('4 Experience Matrix'!C38:C43) + ROWS('4 Experience Matrix'!D38:D43) + ROWS('4 Experience Matrix'!B47:B52) + ROWS('4 Experience Matrix'!C47:C52)</f>
        <v/>
      </c>
      <c r="C17" s="35">
        <f>COUNTA('4 Experience Matrix'!B5:B34) + COUNTA('4 Experience Matrix'!D5:D34) + COUNTA('4 Experience Matrix'!B38:B43) + COUNTA('4 Experience Matrix'!C38:C43) + COUNTA('4 Experience Matrix'!D38:D43) + COUNTA('4 Experience Matrix'!B47:B52) + COUNTA('4 Experience Matrix'!C47:C52)</f>
        <v/>
      </c>
      <c r="D17" s="36">
        <f>IF(B17=0,1,MIN(1,C17/B17))</f>
        <v/>
      </c>
      <c r="E17" s="37" t="inlineStr">
        <is>
          <t>Every 'years with X' answer</t>
        </is>
      </c>
    </row>
    <row r="18" ht="15" customHeight="1" s="28">
      <c r="A18" s="34" t="inlineStr">
        <is>
          <t>5 Target Roles</t>
        </is>
      </c>
      <c r="B18" s="35">
        <f>ROWS('5 Target Roles'!A5:A14) + ROWS('5 Target Roles'!B5:B14) + ROWS('5 Target Roles'!C5:C14) + ROWS('5 Target Roles'!D5:D14) + 1 + 1</f>
        <v/>
      </c>
      <c r="C18" s="35">
        <f>COUNTA('5 Target Roles'!A5:A14) + COUNTA('5 Target Roles'!B5:B14) + COUNTA('5 Target Roles'!C5:C14) + COUNTA('5 Target Roles'!D5:D14) + COUNTA('5 Target Roles'!B17) + COUNTA('5 Target Roles'!B19)</f>
        <v/>
      </c>
      <c r="D18" s="36">
        <f>IF(B18=0,1,MIN(1,C18/B18))</f>
        <v/>
      </c>
      <c r="E18" s="37" t="inlineStr">
        <is>
          <t>Job searches and company sweeps</t>
        </is>
      </c>
    </row>
    <row r="19" ht="15" customHeight="1" s="28">
      <c r="A19" s="34" t="inlineStr">
        <is>
          <t>6 Preferences</t>
        </is>
      </c>
      <c r="B19" s="35">
        <f>1 + 1 + 1 + 1 + 1 + 1 + 1 + 1 + 1 + 1</f>
        <v/>
      </c>
      <c r="C19" s="35">
        <f>COUNTA('6 Preferences'!B5) + COUNTA('6 Preferences'!B6) + COUNTA('6 Preferences'!B7) + COUNTA('6 Preferences'!B8) + COUNTA('6 Preferences'!B11) + COUNTA('6 Preferences'!B12) + COUNTA('6 Preferences'!B13) + COUNTA('6 Preferences'!B17) + COUNTA('6 Preferences'!B21) + COUNTA('6 Preferences'!B22)</f>
        <v/>
      </c>
      <c r="D19" s="36">
        <f>IF(B19=0,1,MIN(1,C19/B19))</f>
        <v/>
      </c>
      <c r="E19" s="37" t="inlineStr">
        <is>
          <t>Hard filters: location, type, pay</t>
        </is>
      </c>
    </row>
    <row r="20" ht="15" customHeight="1" s="28">
      <c r="A20" s="34" t="inlineStr">
        <is>
          <t>7 Screening Answers</t>
        </is>
      </c>
      <c r="B20" s="35">
        <f>1 + 1 + 1 + 1 + 1 + 1 + 1 + 1 + 1 + 1 + 1 + 1 + 1 + 1 + 1 + 1 + 1 + 1 + 1 + 1 + 1 + 1 + 1 + 1 + 1</f>
        <v/>
      </c>
      <c r="C20" s="35">
        <f>COUNTA('7 Screening Answers'!C5) + COUNTA('7 Screening Answers'!C6) + COUNTA('7 Screening Answers'!C7) + COUNTA('7 Screening Answers'!C8) + COUNTA('7 Screening Answers'!C9) + COUNTA('7 Screening Answers'!C10) + COUNTA('7 Screening Answers'!C11) + COUNTA('7 Screening Answers'!C12) + COUNTA('7 Screening Answers'!C13) + COUNTA('7 Screening Answers'!C14) + COUNTA('7 Screening Answers'!C15) + COUNTA('7 Screening Answers'!C16) + COUNTA('7 Screening Answers'!C17) + COUNTA('7 Screening Answers'!C18) + COUNTA('7 Screening Answers'!C19) + COUNTA('7 Screening Answers'!C20) + COUNTA('7 Screening Answers'!C21) + COUNTA('7 Screening Answers'!C22) + COUNTA('7 Screening Answers'!C23) + COUNTA('7 Screening Answers'!C24) + COUNTA('7 Screening Answers'!C25) + COUNTA('7 Screening Answers'!C26) + COUNTA('7 Screening Answers'!C27) + COUNTA('7 Screening Answers'!C28) + COUNTA('7 Screening Answers'!C31)</f>
        <v/>
      </c>
      <c r="D20" s="36">
        <f>IF(B20=0,1,MIN(1,C20/B20))</f>
        <v/>
      </c>
      <c r="E20" s="37" t="inlineStr">
        <is>
          <t>Reused on every application</t>
        </is>
      </c>
    </row>
    <row r="21" ht="15" customHeight="1" s="28">
      <c r="A21" s="34" t="inlineStr">
        <is>
          <t>8 Accounts &amp; Connections</t>
        </is>
      </c>
      <c r="B21" s="35">
        <f>ROWS('8 Accounts &amp; Connections'!B6:B13) + 1 + 1 + 1 + 1 + 1 + 1 + 1 + 1 + 1</f>
        <v/>
      </c>
      <c r="C21" s="35">
        <f>COUNTA('8 Accounts &amp; Connections'!B6:B13) + COUNTA('8 Accounts &amp; Connections'!B16) + COUNTA('8 Accounts &amp; Connections'!B17) + COUNTA('8 Accounts &amp; Connections'!B18) + COUNTA('8 Accounts &amp; Connections'!B19) + COUNTA('8 Accounts &amp; Connections'!B22) + COUNTA('8 Accounts &amp; Connections'!B23) + COUNTA('8 Accounts &amp; Connections'!B24) + COUNTA('8 Accounts &amp; Connections'!B27) + COUNTA('8 Accounts &amp; Connections'!B28)</f>
        <v/>
      </c>
      <c r="D21" s="36">
        <f>IF(B21=0,1,MIN(1,C21/B21))</f>
        <v/>
      </c>
      <c r="E21" s="37" t="inlineStr">
        <is>
          <t>Portals, mailbox, Muse setup</t>
        </is>
      </c>
    </row>
    <row r="22" ht="15" customHeight="1" s="28">
      <c r="A22" s="34" t="inlineStr">
        <is>
          <t>9 Automation Settings</t>
        </is>
      </c>
      <c r="B22" s="35">
        <f>1 + 1 + 1 + 1 + 1 + 1 + 1 + 1 + 1 + 1 + 1 + 1 + 1 + 1 + 1</f>
        <v/>
      </c>
      <c r="C22" s="35">
        <f>COUNTA('9 Automation Settings'!B5) + COUNTA('9 Automation Settings'!B6) + COUNTA('9 Automation Settings'!B7) + COUNTA('9 Automation Settings'!B8) + COUNTA('9 Automation Settings'!B11) + COUNTA('9 Automation Settings'!B12) + COUNTA('9 Automation Settings'!B13) + COUNTA('9 Automation Settings'!B14) + COUNTA('9 Automation Settings'!B15) + COUNTA('9 Automation Settings'!B16) + COUNTA('9 Automation Settings'!B17) + COUNTA('9 Automation Settings'!B21) + COUNTA('9 Automation Settings'!B22) + COUNTA('9 Automation Settings'!B23) + COUNTA('9 Automation Settings'!B24)</f>
        <v/>
      </c>
      <c r="D22" s="36">
        <f>IF(B22=0,1,MIN(1,C22/B22))</f>
        <v/>
      </c>
      <c r="E22" s="37" t="inlineStr">
        <is>
          <t>Caps, auto-send rules, alerts</t>
        </is>
      </c>
    </row>
    <row r="23" ht="15" customHeight="1" s="28">
      <c r="A23" s="34" t="inlineStr">
        <is>
          <t>10 Sign-off</t>
        </is>
      </c>
      <c r="B23" s="35">
        <f>1 + 1 + 1 + 1 + 1 + 1 + 1 + 1 + 1</f>
        <v/>
      </c>
      <c r="C23" s="35">
        <f>COUNTA('10 Sign-off'!B4) + COUNTA('10 Sign-off'!B5) + COUNTA('10 Sign-off'!B6) + COUNTA('10 Sign-off'!B7) + COUNTA('10 Sign-off'!B8) + COUNTA('10 Sign-off'!B9) + COUNTA('10 Sign-off'!B10) + COUNTA('10 Sign-off'!B12) + COUNTA('10 Sign-off'!B13)</f>
        <v/>
      </c>
      <c r="D23" s="36">
        <f>IF(B23=0,1,MIN(1,C23/B23))</f>
        <v/>
      </c>
      <c r="E23" s="37" t="inlineStr">
        <is>
          <t>Go-live authorization</t>
        </is>
      </c>
    </row>
    <row r="24" ht="15" customHeight="1" s="28">
      <c r="A24" s="38" t="inlineStr">
        <is>
          <t>Overall</t>
        </is>
      </c>
      <c r="B24" s="39">
        <f>SUM(B14:B23)</f>
        <v/>
      </c>
      <c r="C24" s="39">
        <f>SUM(C14:C23)</f>
        <v/>
      </c>
      <c r="D24" s="40">
        <f>IF(B24=0,1,MIN(1,C24/B24))</f>
        <v/>
      </c>
      <c r="E24" s="39" t="n"/>
    </row>
    <row r="26" ht="30" customHeight="1" s="28">
      <c r="A26" s="41" t="inlineStr">
        <is>
          <t>Required counts include table rows you may not need (for example 12 resume slots). 100% is not necessary on those tabs; fill what applies and the setup call covers the rest.</t>
        </is>
      </c>
    </row>
    <row r="27" ht="30" customHeight="1" s="28">
      <c r="A27" s="41" t="inlineStr">
        <is>
          <t>Privacy: this file stays in your Muse environment and ours. It never asks for credentials; those you enter yourself in Muse's secure vault.</t>
        </is>
      </c>
    </row>
  </sheetData>
  <mergeCells count="12">
    <mergeCell ref="A12:E12"/>
    <mergeCell ref="A4:E4"/>
    <mergeCell ref="A26:E26"/>
    <mergeCell ref="A2:E2"/>
    <mergeCell ref="A7:E7"/>
    <mergeCell ref="A10:E10"/>
    <mergeCell ref="A1:E1"/>
    <mergeCell ref="A5:E5"/>
    <mergeCell ref="A8:E8"/>
    <mergeCell ref="A6:E6"/>
    <mergeCell ref="A9:E9"/>
    <mergeCell ref="A27:E27"/>
  </mergeCells>
  <conditionalFormatting sqref="D14">
    <cfRule type="expression" rank="0" priority="2" equalAverage="0" aboveAverage="0" dxfId="0" text="" percent="0" bottom="0">
      <formula>D14&gt;=1</formula>
    </cfRule>
    <cfRule type="expression" rank="0" priority="3" equalAverage="0" aboveAverage="0" dxfId="1" text="" percent="0" bottom="0">
      <formula>D14&lt;1</formula>
    </cfRule>
  </conditionalFormatting>
  <conditionalFormatting sqref="D15">
    <cfRule type="expression" rank="0" priority="4" equalAverage="0" aboveAverage="0" dxfId="0" text="" percent="0" bottom="0">
      <formula>D15&gt;=1</formula>
    </cfRule>
    <cfRule type="expression" rank="0" priority="5" equalAverage="0" aboveAverage="0" dxfId="1" text="" percent="0" bottom="0">
      <formula>D15&lt;1</formula>
    </cfRule>
  </conditionalFormatting>
  <conditionalFormatting sqref="D16">
    <cfRule type="expression" rank="0" priority="6" equalAverage="0" aboveAverage="0" dxfId="0" text="" percent="0" bottom="0">
      <formula>D16&gt;=1</formula>
    </cfRule>
    <cfRule type="expression" rank="0" priority="7" equalAverage="0" aboveAverage="0" dxfId="1" text="" percent="0" bottom="0">
      <formula>D16&lt;1</formula>
    </cfRule>
  </conditionalFormatting>
  <conditionalFormatting sqref="D17">
    <cfRule type="expression" rank="0" priority="8" equalAverage="0" aboveAverage="0" dxfId="0" text="" percent="0" bottom="0">
      <formula>D17&gt;=1</formula>
    </cfRule>
    <cfRule type="expression" rank="0" priority="9" equalAverage="0" aboveAverage="0" dxfId="1" text="" percent="0" bottom="0">
      <formula>D17&lt;1</formula>
    </cfRule>
  </conditionalFormatting>
  <conditionalFormatting sqref="D18">
    <cfRule type="expression" rank="0" priority="10" equalAverage="0" aboveAverage="0" dxfId="0" text="" percent="0" bottom="0">
      <formula>D18&gt;=1</formula>
    </cfRule>
    <cfRule type="expression" rank="0" priority="11" equalAverage="0" aboveAverage="0" dxfId="1" text="" percent="0" bottom="0">
      <formula>D18&lt;1</formula>
    </cfRule>
  </conditionalFormatting>
  <conditionalFormatting sqref="D19">
    <cfRule type="expression" rank="0" priority="12" equalAverage="0" aboveAverage="0" dxfId="0" text="" percent="0" bottom="0">
      <formula>D19&gt;=1</formula>
    </cfRule>
    <cfRule type="expression" rank="0" priority="13" equalAverage="0" aboveAverage="0" dxfId="1" text="" percent="0" bottom="0">
      <formula>D19&lt;1</formula>
    </cfRule>
  </conditionalFormatting>
  <conditionalFormatting sqref="D20">
    <cfRule type="expression" rank="0" priority="14" equalAverage="0" aboveAverage="0" dxfId="0" text="" percent="0" bottom="0">
      <formula>D20&gt;=1</formula>
    </cfRule>
    <cfRule type="expression" rank="0" priority="15" equalAverage="0" aboveAverage="0" dxfId="1" text="" percent="0" bottom="0">
      <formula>D20&lt;1</formula>
    </cfRule>
  </conditionalFormatting>
  <conditionalFormatting sqref="D21">
    <cfRule type="expression" rank="0" priority="16" equalAverage="0" aboveAverage="0" dxfId="0" text="" percent="0" bottom="0">
      <formula>D21&gt;=1</formula>
    </cfRule>
    <cfRule type="expression" rank="0" priority="17" equalAverage="0" aboveAverage="0" dxfId="1" text="" percent="0" bottom="0">
      <formula>D21&lt;1</formula>
    </cfRule>
  </conditionalFormatting>
  <conditionalFormatting sqref="D22">
    <cfRule type="expression" rank="0" priority="18" equalAverage="0" aboveAverage="0" dxfId="0" text="" percent="0" bottom="0">
      <formula>D22&gt;=1</formula>
    </cfRule>
    <cfRule type="expression" rank="0" priority="19" equalAverage="0" aboveAverage="0" dxfId="1" text="" percent="0" bottom="0">
      <formula>D22&lt;1</formula>
    </cfRule>
  </conditionalFormatting>
  <conditionalFormatting sqref="D23">
    <cfRule type="expression" rank="0" priority="20" equalAverage="0" aboveAverage="0" dxfId="0" text="" percent="0" bottom="0">
      <formula>D23&gt;=1</formula>
    </cfRule>
    <cfRule type="expression" rank="0" priority="21" equalAverage="0" aboveAverage="0" dxfId="1" text="" percent="0" bottom="0">
      <formula>D23&lt;1</formula>
    </cfRule>
  </conditionalFormatting>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A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8">
      <c r="A1" s="42" t="inlineStr">
        <is>
          <t>YesNo</t>
        </is>
      </c>
      <c r="B1" s="42" t="inlineStr">
        <is>
          <t>YesNoPrefer</t>
        </is>
      </c>
      <c r="C1" s="42" t="inlineStr">
        <is>
          <t>Timezone</t>
        </is>
      </c>
      <c r="D1" s="42" t="inlineStr">
        <is>
          <t>EmpStatus</t>
        </is>
      </c>
      <c r="E1" s="42" t="inlineStr">
        <is>
          <t>WorkAuth</t>
        </is>
      </c>
      <c r="F1" s="42" t="inlineStr">
        <is>
          <t>Sponsorship</t>
        </is>
      </c>
      <c r="G1" s="42" t="inlineStr">
        <is>
          <t>H1BGate</t>
        </is>
      </c>
      <c r="H1" s="42" t="inlineStr">
        <is>
          <t>Relocate</t>
        </is>
      </c>
      <c r="I1" s="42" t="inlineStr">
        <is>
          <t>WorkMode</t>
        </is>
      </c>
      <c r="J1" s="42" t="inlineStr">
        <is>
          <t>EmpType</t>
        </is>
      </c>
      <c r="K1" s="42" t="inlineStr">
        <is>
          <t>Travel</t>
        </is>
      </c>
      <c r="L1" s="42" t="inlineStr">
        <is>
          <t>Seniority</t>
        </is>
      </c>
      <c r="M1" s="42" t="inlineStr">
        <is>
          <t>RoleFamily</t>
        </is>
      </c>
      <c r="N1" s="42" t="inlineStr">
        <is>
          <t>Industry</t>
        </is>
      </c>
      <c r="O1" s="42" t="inlineStr">
        <is>
          <t>Tier</t>
        </is>
      </c>
      <c r="P1" s="42" t="inlineStr">
        <is>
          <t>SkillCategory</t>
        </is>
      </c>
      <c r="Q1" s="42" t="inlineStr">
        <is>
          <t>Education</t>
        </is>
      </c>
      <c r="R1" s="42" t="inlineStr">
        <is>
          <t>Salary</t>
        </is>
      </c>
      <c r="S1" s="42" t="inlineStr">
        <is>
          <t>AcctStatus</t>
        </is>
      </c>
      <c r="T1" s="42" t="inlineStr">
        <is>
          <t>Mailbox</t>
        </is>
      </c>
      <c r="U1" s="42" t="inlineStr">
        <is>
          <t>SendMode</t>
        </is>
      </c>
      <c r="V1" s="42" t="inlineStr">
        <is>
          <t>Notify</t>
        </is>
      </c>
      <c r="W1" s="42" t="inlineStr">
        <is>
          <t>Contact</t>
        </is>
      </c>
      <c r="X1" s="42" t="inlineStr">
        <is>
          <t>Hours</t>
        </is>
      </c>
      <c r="Y1" s="42" t="inlineStr">
        <is>
          <t>Priority</t>
        </is>
      </c>
      <c r="Z1" s="42" t="inlineStr">
        <is>
          <t>Veteran</t>
        </is>
      </c>
      <c r="AA1" s="42" t="inlineStr">
        <is>
          <t>Race</t>
        </is>
      </c>
      <c r="AB1" s="42" t="inlineStr">
        <is>
          <t>MuseAcct</t>
        </is>
      </c>
    </row>
    <row r="2" ht="15" customHeight="1" s="28">
      <c r="A2" s="27" t="inlineStr">
        <is>
          <t>Yes</t>
        </is>
      </c>
      <c r="B2" s="27" t="inlineStr">
        <is>
          <t>Yes</t>
        </is>
      </c>
      <c r="C2" s="27" t="inlineStr">
        <is>
          <t>US Eastern</t>
        </is>
      </c>
      <c r="D2" s="27" t="inlineStr">
        <is>
          <t>Employed full-time</t>
        </is>
      </c>
      <c r="E2" s="27" t="inlineStr">
        <is>
          <t>US citizen</t>
        </is>
      </c>
      <c r="F2" s="27" t="inlineStr">
        <is>
          <t>No</t>
        </is>
      </c>
      <c r="G2" s="27" t="inlineStr">
        <is>
          <t>Only apply to companies with sponsorship history (strict)</t>
        </is>
      </c>
      <c r="H2" s="27" t="inlineStr">
        <is>
          <t>Yes - anywhere in the US</t>
        </is>
      </c>
      <c r="I2" s="27" t="inlineStr">
        <is>
          <t>Remote only</t>
        </is>
      </c>
      <c r="J2" s="27" t="inlineStr">
        <is>
          <t>Full-time only</t>
        </is>
      </c>
      <c r="K2" s="27" t="inlineStr">
        <is>
          <t>0%</t>
        </is>
      </c>
      <c r="L2" s="27" t="inlineStr">
        <is>
          <t>Junior</t>
        </is>
      </c>
      <c r="M2" s="27" t="inlineStr">
        <is>
          <t>Data Engineer</t>
        </is>
      </c>
      <c r="N2" s="27" t="inlineStr">
        <is>
          <t>Fintech</t>
        </is>
      </c>
      <c r="O2" s="27" t="inlineStr">
        <is>
          <t>Tier 1 (large well-known)</t>
        </is>
      </c>
      <c r="P2" s="27" t="inlineStr">
        <is>
          <t>Language</t>
        </is>
      </c>
      <c r="Q2" s="27" t="inlineStr">
        <is>
          <t>High school</t>
        </is>
      </c>
      <c r="R2" s="27" t="inlineStr">
        <is>
          <t>Negotiable (recommended)</t>
        </is>
      </c>
      <c r="S2" s="27" t="inlineStr">
        <is>
          <t>Active</t>
        </is>
      </c>
      <c r="T2" s="27" t="inlineStr">
        <is>
          <t>Outlook (recommended)</t>
        </is>
      </c>
      <c r="U2" s="27" t="inlineStr">
        <is>
          <t>Send automatically</t>
        </is>
      </c>
      <c r="V2" s="27" t="inlineStr">
        <is>
          <t>Daily summary only</t>
        </is>
      </c>
      <c r="W2" s="27" t="inlineStr">
        <is>
          <t>Email</t>
        </is>
      </c>
      <c r="X2" s="27" t="inlineStr">
        <is>
          <t>Any time</t>
        </is>
      </c>
      <c r="Y2" s="27" t="inlineStr">
        <is>
          <t>1</t>
        </is>
      </c>
      <c r="Z2" s="27" t="inlineStr">
        <is>
          <t>Not a veteran</t>
        </is>
      </c>
      <c r="AA2" s="27" t="inlineStr">
        <is>
          <t>Prefer not to say</t>
        </is>
      </c>
      <c r="AB2" s="27" t="inlineStr">
        <is>
          <t>Yes - I have one</t>
        </is>
      </c>
    </row>
    <row r="3" ht="15" customHeight="1" s="28">
      <c r="A3" s="27" t="inlineStr">
        <is>
          <t>No</t>
        </is>
      </c>
      <c r="B3" s="27" t="inlineStr">
        <is>
          <t>No</t>
        </is>
      </c>
      <c r="C3" s="27" t="inlineStr">
        <is>
          <t>US Central</t>
        </is>
      </c>
      <c r="D3" s="27" t="inlineStr">
        <is>
          <t>Employed on contract</t>
        </is>
      </c>
      <c r="E3" s="27" t="inlineStr">
        <is>
          <t>Green card</t>
        </is>
      </c>
      <c r="F3" s="27" t="inlineStr">
        <is>
          <t>Yes - now</t>
        </is>
      </c>
      <c r="G3" s="27" t="inlineStr">
        <is>
          <t>Prefer sponsors but apply everywhere (recommended)</t>
        </is>
      </c>
      <c r="H3" s="27" t="inlineStr">
        <is>
          <t>Yes - selected cities only</t>
        </is>
      </c>
      <c r="I3" s="27" t="inlineStr">
        <is>
          <t>Remote preferred, hybrid OK</t>
        </is>
      </c>
      <c r="J3" s="27" t="inlineStr">
        <is>
          <t>Full-time + W2 contract</t>
        </is>
      </c>
      <c r="K3" s="27" t="inlineStr">
        <is>
          <t>Up to 10%</t>
        </is>
      </c>
      <c r="L3" s="27" t="inlineStr">
        <is>
          <t>Mid</t>
        </is>
      </c>
      <c r="M3" s="27" t="inlineStr">
        <is>
          <t>Data Architect</t>
        </is>
      </c>
      <c r="N3" s="27" t="inlineStr">
        <is>
          <t>Healthcare</t>
        </is>
      </c>
      <c r="O3" s="27" t="inlineStr">
        <is>
          <t>Tier 2 (mid-size / growth)</t>
        </is>
      </c>
      <c r="P3" s="27" t="inlineStr">
        <is>
          <t>Cloud</t>
        </is>
      </c>
      <c r="Q3" s="27" t="inlineStr">
        <is>
          <t>Associate</t>
        </is>
      </c>
      <c r="R3" s="27" t="inlineStr">
        <is>
          <t>Enter 0 if the form requires a number</t>
        </is>
      </c>
      <c r="S3" s="27" t="inlineStr">
        <is>
          <t>Need to create</t>
        </is>
      </c>
      <c r="T3" s="27" t="inlineStr">
        <is>
          <t>Gmail</t>
        </is>
      </c>
      <c r="U3" s="27" t="inlineStr">
        <is>
          <t>Draft for my approval</t>
        </is>
      </c>
      <c r="V3" s="27" t="inlineStr">
        <is>
          <t>Daily summary + urgent items</t>
        </is>
      </c>
      <c r="W3" s="27" t="inlineStr">
        <is>
          <t>Text / SMS</t>
        </is>
      </c>
      <c r="X3" s="27" t="inlineStr">
        <is>
          <t>Business hours only (my timezone)</t>
        </is>
      </c>
      <c r="Y3" s="27" t="inlineStr">
        <is>
          <t>2</t>
        </is>
      </c>
      <c r="Z3" s="27" t="inlineStr">
        <is>
          <t>Veteran</t>
        </is>
      </c>
      <c r="AA3" s="27" t="inlineStr">
        <is>
          <t>Will answer myself on each form</t>
        </is>
      </c>
      <c r="AB3" s="27" t="inlineStr">
        <is>
          <t>No - please create one for me</t>
        </is>
      </c>
    </row>
    <row r="4" ht="15" customHeight="1" s="28">
      <c r="B4" s="27" t="inlineStr">
        <is>
          <t>Prefer not to say</t>
        </is>
      </c>
      <c r="C4" s="27" t="inlineStr">
        <is>
          <t>US Mountain</t>
        </is>
      </c>
      <c r="D4" s="27" t="inlineStr">
        <is>
          <t>Notice period</t>
        </is>
      </c>
      <c r="E4" s="27" t="inlineStr">
        <is>
          <t>H-1B</t>
        </is>
      </c>
      <c r="F4" s="27" t="inlineStr">
        <is>
          <t>Yes - in the future</t>
        </is>
      </c>
      <c r="G4" s="27" t="inlineStr">
        <is>
          <t>Ignore sponsorship history</t>
        </is>
      </c>
      <c r="H4" s="27" t="inlineStr">
        <is>
          <t>No</t>
        </is>
      </c>
      <c r="I4" s="27" t="inlineStr">
        <is>
          <t>Hybrid</t>
        </is>
      </c>
      <c r="J4" s="27" t="inlineStr">
        <is>
          <t>Full-time + W2 + C2C</t>
        </is>
      </c>
      <c r="K4" s="27" t="inlineStr">
        <is>
          <t>Up to 25%</t>
        </is>
      </c>
      <c r="L4" s="27" t="inlineStr">
        <is>
          <t>Senior</t>
        </is>
      </c>
      <c r="M4" s="27" t="inlineStr">
        <is>
          <t>Analytics Engineer</t>
        </is>
      </c>
      <c r="N4" s="27" t="inlineStr">
        <is>
          <t>Energy</t>
        </is>
      </c>
      <c r="O4" s="27" t="inlineStr">
        <is>
          <t>Tier 3 (startups)</t>
        </is>
      </c>
      <c r="P4" s="27" t="inlineStr">
        <is>
          <t>Data platform</t>
        </is>
      </c>
      <c r="Q4" s="27" t="inlineStr">
        <is>
          <t>Bachelor's</t>
        </is>
      </c>
      <c r="R4" s="27" t="inlineStr">
        <is>
          <t>State my minimum</t>
        </is>
      </c>
      <c r="S4" s="27" t="inlineStr">
        <is>
          <t>Do not use</t>
        </is>
      </c>
      <c r="T4" s="27" t="inlineStr">
        <is>
          <t>Other</t>
        </is>
      </c>
      <c r="U4" s="27" t="inlineStr">
        <is>
          <t>Never</t>
        </is>
      </c>
      <c r="V4" s="27" t="inlineStr">
        <is>
          <t>Every run</t>
        </is>
      </c>
      <c r="W4" s="27" t="inlineStr">
        <is>
          <t>WhatsApp</t>
        </is>
      </c>
      <c r="X4" s="27" t="inlineStr">
        <is>
          <t>Evenings and weekends only</t>
        </is>
      </c>
      <c r="Y4" s="27" t="inlineStr">
        <is>
          <t>3</t>
        </is>
      </c>
      <c r="Z4" s="27" t="inlineStr">
        <is>
          <t>Prefer not to say</t>
        </is>
      </c>
      <c r="AB4" s="27" t="inlineStr">
        <is>
          <t>No - I will create one</t>
        </is>
      </c>
    </row>
    <row r="5" ht="15" customHeight="1" s="28">
      <c r="C5" s="27" t="inlineStr">
        <is>
          <t>US Pacific</t>
        </is>
      </c>
      <c r="D5" s="27" t="inlineStr">
        <is>
          <t>Between roles</t>
        </is>
      </c>
      <c r="E5" s="27" t="inlineStr">
        <is>
          <t>H-1B (transfer needed)</t>
        </is>
      </c>
      <c r="F5" s="27" t="inlineStr">
        <is>
          <t>Not sure</t>
        </is>
      </c>
      <c r="I5" s="27" t="inlineStr">
        <is>
          <t>On-site OK</t>
        </is>
      </c>
      <c r="J5" s="27" t="inlineStr">
        <is>
          <t>Contract only</t>
        </is>
      </c>
      <c r="K5" s="27" t="inlineStr">
        <is>
          <t>Up to 50%</t>
        </is>
      </c>
      <c r="L5" s="27" t="inlineStr">
        <is>
          <t>Staff / Principal</t>
        </is>
      </c>
      <c r="M5" s="27" t="inlineStr">
        <is>
          <t>Data Scientist</t>
        </is>
      </c>
      <c r="N5" s="27" t="inlineStr">
        <is>
          <t>Retail / E-commerce</t>
        </is>
      </c>
      <c r="O5" s="27" t="inlineStr">
        <is>
          <t>Any</t>
        </is>
      </c>
      <c r="P5" s="27" t="inlineStr">
        <is>
          <t>Database</t>
        </is>
      </c>
      <c r="Q5" s="27" t="inlineStr">
        <is>
          <t>Master's</t>
        </is>
      </c>
      <c r="R5" s="27" t="inlineStr">
        <is>
          <t>Skip the question</t>
        </is>
      </c>
      <c r="V5" s="27" t="inlineStr">
        <is>
          <t>Only when I ask</t>
        </is>
      </c>
      <c r="W5" s="27" t="inlineStr">
        <is>
          <t>Phone call</t>
        </is>
      </c>
      <c r="Y5" s="27" t="inlineStr">
        <is>
          <t>4</t>
        </is>
      </c>
    </row>
    <row r="6" ht="15" customHeight="1" s="28">
      <c r="C6" s="27" t="inlineStr">
        <is>
          <t>US Alaska</t>
        </is>
      </c>
      <c r="D6" s="27" t="inlineStr">
        <is>
          <t>Student / recent graduate</t>
        </is>
      </c>
      <c r="E6" s="27" t="inlineStr">
        <is>
          <t>L-1</t>
        </is>
      </c>
      <c r="I6" s="27" t="inlineStr">
        <is>
          <t>No preference</t>
        </is>
      </c>
      <c r="K6" s="27" t="inlineStr">
        <is>
          <t>Any</t>
        </is>
      </c>
      <c r="L6" s="27" t="inlineStr">
        <is>
          <t>Lead / Manager</t>
        </is>
      </c>
      <c r="M6" s="27" t="inlineStr">
        <is>
          <t>ML Engineer</t>
        </is>
      </c>
      <c r="N6" s="27" t="inlineStr">
        <is>
          <t>SaaS / Tech</t>
        </is>
      </c>
      <c r="P6" s="27" t="inlineStr">
        <is>
          <t>AI / ML</t>
        </is>
      </c>
      <c r="Q6" s="27" t="inlineStr">
        <is>
          <t>PhD</t>
        </is>
      </c>
      <c r="W6" s="27" t="inlineStr">
        <is>
          <t>Muse chat</t>
        </is>
      </c>
      <c r="Y6" s="27" t="inlineStr">
        <is>
          <t>5</t>
        </is>
      </c>
    </row>
    <row r="7" ht="15" customHeight="1" s="28">
      <c r="C7" s="27" t="inlineStr">
        <is>
          <t>US Hawaii</t>
        </is>
      </c>
      <c r="E7" s="27" t="inlineStr">
        <is>
          <t>F-1 OPT</t>
        </is>
      </c>
      <c r="L7" s="27" t="inlineStr">
        <is>
          <t>Director+</t>
        </is>
      </c>
      <c r="M7" s="27" t="inlineStr">
        <is>
          <t>AI / GenAI Engineer</t>
        </is>
      </c>
      <c r="N7" s="27" t="inlineStr">
        <is>
          <t>Consulting</t>
        </is>
      </c>
      <c r="P7" s="27" t="inlineStr">
        <is>
          <t>Orchestration</t>
        </is>
      </c>
      <c r="Q7" s="27" t="inlineStr">
        <is>
          <t>Prefer not to say</t>
        </is>
      </c>
      <c r="Y7" s="27" t="inlineStr">
        <is>
          <t>6</t>
        </is>
      </c>
    </row>
    <row r="8" ht="15" customHeight="1" s="28">
      <c r="C8" s="27" t="inlineStr">
        <is>
          <t>Other</t>
        </is>
      </c>
      <c r="E8" s="27" t="inlineStr">
        <is>
          <t>F-1 STEM OPT</t>
        </is>
      </c>
      <c r="M8" s="27" t="inlineStr">
        <is>
          <t>AI Architect</t>
        </is>
      </c>
      <c r="N8" s="27" t="inlineStr">
        <is>
          <t>Manufacturing</t>
        </is>
      </c>
      <c r="P8" s="27" t="inlineStr">
        <is>
          <t>BI / Analytics</t>
        </is>
      </c>
      <c r="Y8" s="27" t="inlineStr">
        <is>
          <t>7</t>
        </is>
      </c>
    </row>
    <row r="9" ht="15" customHeight="1" s="28">
      <c r="E9" s="27" t="inlineStr">
        <is>
          <t>TN</t>
        </is>
      </c>
      <c r="M9" s="27" t="inlineStr">
        <is>
          <t>Solutions Architect</t>
        </is>
      </c>
      <c r="N9" s="27" t="inlineStr">
        <is>
          <t>Logistics</t>
        </is>
      </c>
      <c r="P9" s="27" t="inlineStr">
        <is>
          <t>DevOps</t>
        </is>
      </c>
      <c r="Y9" s="27" t="inlineStr">
        <is>
          <t>8</t>
        </is>
      </c>
    </row>
    <row r="10" ht="15" customHeight="1" s="28">
      <c r="E10" s="27" t="inlineStr">
        <is>
          <t>EAD (other)</t>
        </is>
      </c>
      <c r="M10" s="27" t="inlineStr">
        <is>
          <t>Backend Engineer</t>
        </is>
      </c>
      <c r="N10" s="27" t="inlineStr">
        <is>
          <t>Media</t>
        </is>
      </c>
      <c r="P10" s="27" t="inlineStr">
        <is>
          <t>Domain</t>
        </is>
      </c>
      <c r="Y10" s="27" t="inlineStr">
        <is>
          <t>9</t>
        </is>
      </c>
    </row>
    <row r="11" ht="15" customHeight="1" s="28">
      <c r="E11" s="27" t="inlineStr">
        <is>
          <t>Other</t>
        </is>
      </c>
      <c r="M11" s="27" t="inlineStr">
        <is>
          <t>Full-stack Engineer</t>
        </is>
      </c>
      <c r="N11" s="27" t="inlineStr">
        <is>
          <t>Government</t>
        </is>
      </c>
      <c r="P11" s="27" t="inlineStr">
        <is>
          <t>Other</t>
        </is>
      </c>
      <c r="Y11" s="27" t="inlineStr">
        <is>
          <t>10</t>
        </is>
      </c>
    </row>
    <row r="12" ht="15" customHeight="1" s="28">
      <c r="M12" s="27" t="inlineStr">
        <is>
          <t>DevOps / Platform</t>
        </is>
      </c>
      <c r="N12" s="27" t="inlineStr">
        <is>
          <t>Any</t>
        </is>
      </c>
    </row>
    <row r="13" ht="15" customHeight="1" s="28">
      <c r="M13" s="27" t="inlineStr">
        <is>
          <t>Product Manager</t>
        </is>
      </c>
    </row>
    <row r="14" ht="15" customHeight="1" s="28">
      <c r="M14" s="27" t="inlineStr">
        <is>
          <t>Other</t>
        </is>
      </c>
    </row>
  </sheetData>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C2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27" min="1" max="1"/>
    <col width="44" customWidth="1" style="27" min="2" max="2"/>
    <col width="46" customWidth="1" style="27" min="3" max="3"/>
  </cols>
  <sheetData>
    <row r="1" ht="30" customHeight="1" s="28">
      <c r="A1" s="29" t="inlineStr">
        <is>
          <t>About you</t>
        </is>
      </c>
    </row>
    <row r="2" ht="31.5" customHeight="1" s="28">
      <c r="A2" s="30" t="inlineStr">
        <is>
          <t>Who you are and how we reach you. Yellow cells are required; blue text is yours to type. Cells with a dropdown arrow have fixed choices.</t>
        </is>
      </c>
    </row>
    <row r="3"/>
    <row r="4" ht="21.75" customHeight="1" s="28">
      <c r="A4" s="31" t="inlineStr">
        <is>
          <t>Identity</t>
        </is>
      </c>
    </row>
    <row r="5" ht="18" customHeight="1" s="28">
      <c r="A5" s="43" t="inlineStr">
        <is>
          <t>Full name (exactly as on your resume)</t>
        </is>
      </c>
      <c r="B5" s="44" t="n"/>
    </row>
    <row r="6" ht="18" customHeight="1" s="28">
      <c r="A6" s="43" t="inlineStr">
        <is>
          <t>Preferred first name</t>
        </is>
      </c>
      <c r="B6" s="44" t="n"/>
    </row>
    <row r="7" ht="18" customHeight="1" s="28">
      <c r="A7" s="43" t="inlineStr">
        <is>
          <t>Phone (with country code)</t>
        </is>
      </c>
      <c r="B7" s="44" t="n"/>
    </row>
    <row r="8" ht="18" customHeight="1" s="28">
      <c r="A8" s="43" t="inlineStr">
        <is>
          <t>Personal email (for our updates to you)</t>
        </is>
      </c>
      <c r="B8" s="44" t="n"/>
    </row>
    <row r="9" ht="18" customHeight="1" s="28">
      <c r="A9" s="43" t="inlineStr">
        <is>
          <t>City</t>
        </is>
      </c>
      <c r="B9" s="44" t="n"/>
    </row>
    <row r="10" ht="18" customHeight="1" s="28">
      <c r="A10" s="43" t="inlineStr">
        <is>
          <t>State</t>
        </is>
      </c>
      <c r="B10" s="44" t="n"/>
    </row>
    <row r="11" ht="18" customHeight="1" s="28">
      <c r="A11" s="43" t="inlineStr">
        <is>
          <t>Timezone</t>
        </is>
      </c>
      <c r="B11" s="44" t="n"/>
    </row>
    <row r="12" ht="30" customHeight="1" s="28">
      <c r="A12" s="43" t="inlineStr">
        <is>
          <t>Street address (used only when a form requires it)</t>
        </is>
      </c>
      <c r="B12" s="44" t="n"/>
      <c r="C12" s="45" t="inlineStr">
        <is>
          <t>Optional. Some portals make address mandatory; we never share it elsewhere.</t>
        </is>
      </c>
    </row>
    <row r="13"/>
    <row r="14" ht="21.75" customHeight="1" s="28">
      <c r="A14" s="31" t="inlineStr">
        <is>
          <t>Online presence</t>
        </is>
      </c>
    </row>
    <row r="15" ht="18" customHeight="1" s="28">
      <c r="A15" s="43" t="inlineStr">
        <is>
          <t>LinkedIn profile URL</t>
        </is>
      </c>
      <c r="B15" s="44" t="n"/>
    </row>
    <row r="16" ht="18" customHeight="1" s="28">
      <c r="A16" s="43" t="inlineStr">
        <is>
          <t>GitHub / portfolio URL</t>
        </is>
      </c>
      <c r="B16" s="44" t="n"/>
    </row>
    <row r="17" ht="18" customHeight="1" s="28">
      <c r="A17" s="43" t="inlineStr">
        <is>
          <t>Personal website</t>
        </is>
      </c>
      <c r="B17" s="44" t="n"/>
    </row>
    <row r="18"/>
    <row r="19" ht="21.75" customHeight="1" s="28">
      <c r="A19" s="31" t="inlineStr">
        <is>
          <t>Current situation</t>
        </is>
      </c>
    </row>
    <row r="20" ht="18" customHeight="1" s="28">
      <c r="A20" s="43" t="inlineStr">
        <is>
          <t>Current or most recent job title</t>
        </is>
      </c>
      <c r="B20" s="44" t="n"/>
    </row>
    <row r="21" ht="18" customHeight="1" s="28">
      <c r="A21" s="43" t="inlineStr">
        <is>
          <t>Current or most recent employer</t>
        </is>
      </c>
      <c r="B21" s="44" t="n"/>
    </row>
    <row r="22" ht="18" customHeight="1" s="28">
      <c r="A22" s="43" t="inlineStr">
        <is>
          <t>Employment status</t>
        </is>
      </c>
      <c r="B22" s="44" t="n"/>
    </row>
    <row r="23" ht="18" customHeight="1" s="28">
      <c r="A23" s="43" t="inlineStr">
        <is>
          <t>Total years of professional experience</t>
        </is>
      </c>
      <c r="B23" s="44" t="n"/>
      <c r="C23" s="45" t="inlineStr">
        <is>
          <t>A whole number. We never claim more than this on any form.</t>
        </is>
      </c>
    </row>
    <row r="24" ht="18" customHeight="1" s="28">
      <c r="A24" s="43" t="inlineStr">
        <is>
          <t>Earliest start date (YYYY-MM-DD)</t>
        </is>
      </c>
      <c r="B24" s="44" t="n"/>
    </row>
    <row r="25" ht="18" customHeight="1" s="28">
      <c r="A25" s="43" t="inlineStr">
        <is>
          <t>Notice period</t>
        </is>
      </c>
      <c r="B25" s="44" t="n"/>
    </row>
    <row r="26" ht="30" customHeight="1" s="28">
      <c r="A26" s="43" t="inlineStr">
        <is>
          <t>Headline we may use in messages (one line)</t>
        </is>
      </c>
      <c r="B26" s="44" t="n"/>
      <c r="C26" s="45" t="inlineStr">
        <is>
          <t>How you would describe yourself to a recruiter in one sentence.</t>
        </is>
      </c>
    </row>
  </sheetData>
  <mergeCells count="5">
    <mergeCell ref="A19:C19"/>
    <mergeCell ref="A1:C1"/>
    <mergeCell ref="A14:C14"/>
    <mergeCell ref="A4:C4"/>
    <mergeCell ref="A2:C2"/>
  </mergeCells>
  <conditionalFormatting sqref="B5">
    <cfRule type="expression" rank="0" priority="2" equalAverage="0" aboveAverage="0" dxfId="1" text="" percent="0" bottom="0">
      <formula>ISBLANK(B5)</formula>
    </cfRule>
  </conditionalFormatting>
  <conditionalFormatting sqref="B7">
    <cfRule type="expression" rank="0" priority="3" equalAverage="0" aboveAverage="0" dxfId="1" text="" percent="0" bottom="0">
      <formula>ISBLANK(B7)</formula>
    </cfRule>
  </conditionalFormatting>
  <conditionalFormatting sqref="B8">
    <cfRule type="expression" rank="0" priority="4" equalAverage="0" aboveAverage="0" dxfId="1" text="" percent="0" bottom="0">
      <formula>ISBLANK(B8)</formula>
    </cfRule>
  </conditionalFormatting>
  <conditionalFormatting sqref="B9">
    <cfRule type="expression" rank="0" priority="5" equalAverage="0" aboveAverage="0" dxfId="1" text="" percent="0" bottom="0">
      <formula>ISBLANK(B9)</formula>
    </cfRule>
  </conditionalFormatting>
  <conditionalFormatting sqref="B10">
    <cfRule type="expression" rank="0" priority="6" equalAverage="0" aboveAverage="0" dxfId="1" text="" percent="0" bottom="0">
      <formula>ISBLANK(B10)</formula>
    </cfRule>
  </conditionalFormatting>
  <conditionalFormatting sqref="B11">
    <cfRule type="expression" rank="0" priority="7" equalAverage="0" aboveAverage="0" dxfId="1" text="" percent="0" bottom="0">
      <formula>ISBLANK(B11)</formula>
    </cfRule>
  </conditionalFormatting>
  <conditionalFormatting sqref="B15">
    <cfRule type="expression" rank="0" priority="8" equalAverage="0" aboveAverage="0" dxfId="1" text="" percent="0" bottom="0">
      <formula>ISBLANK(B15)</formula>
    </cfRule>
  </conditionalFormatting>
  <conditionalFormatting sqref="B20">
    <cfRule type="expression" rank="0" priority="9" equalAverage="0" aboveAverage="0" dxfId="1" text="" percent="0" bottom="0">
      <formula>ISBLANK(B20)</formula>
    </cfRule>
  </conditionalFormatting>
  <conditionalFormatting sqref="B21">
    <cfRule type="expression" rank="0" priority="10" equalAverage="0" aboveAverage="0" dxfId="1" text="" percent="0" bottom="0">
      <formula>ISBLANK(B21)</formula>
    </cfRule>
  </conditionalFormatting>
  <conditionalFormatting sqref="B22">
    <cfRule type="expression" rank="0" priority="11" equalAverage="0" aboveAverage="0" dxfId="1" text="" percent="0" bottom="0">
      <formula>ISBLANK(B22)</formula>
    </cfRule>
  </conditionalFormatting>
  <conditionalFormatting sqref="B23">
    <cfRule type="expression" rank="0" priority="12" equalAverage="0" aboveAverage="0" dxfId="1" text="" percent="0" bottom="0">
      <formula>ISBLANK(B23)</formula>
    </cfRule>
  </conditionalFormatting>
  <conditionalFormatting sqref="B24">
    <cfRule type="expression" rank="0" priority="13" equalAverage="0" aboveAverage="0" dxfId="1" text="" percent="0" bottom="0">
      <formula>ISBLANK(B24)</formula>
    </cfRule>
  </conditionalFormatting>
  <conditionalFormatting sqref="B26">
    <cfRule type="expression" rank="0" priority="14" equalAverage="0" aboveAverage="0" dxfId="1" text="" percent="0" bottom="0">
      <formula>ISBLANK(B26)</formula>
    </cfRule>
  </conditionalFormatting>
  <dataValidations count="2">
    <dataValidation sqref="B11" showDropDown="0" showInputMessage="0" showErrorMessage="1" allowBlank="0" errorTitle="Pick from the list" error="Use the dropdown arrow to choose one of the options." type="list" errorStyle="stop" operator="between">
      <formula1>Lists!$C$2:$C$8</formula1>
      <formula2>0</formula2>
    </dataValidation>
    <dataValidation sqref="B22" showDropDown="0" showInputMessage="0" showErrorMessage="1" allowBlank="0" errorTitle="Pick from the list" error="Use the dropdown arrow to choose one of the options." type="list" errorStyle="stop" operator="between">
      <formula1>Lists!$D$2:$D$6</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C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27" min="1" max="1"/>
    <col width="40" customWidth="1" style="27" min="2" max="2"/>
    <col width="46" customWidth="1" style="27" min="3" max="3"/>
  </cols>
  <sheetData>
    <row r="1" ht="30" customHeight="1" s="28">
      <c r="A1" s="29" t="inlineStr">
        <is>
          <t>Work authorization and sponsorship</t>
        </is>
      </c>
    </row>
    <row r="2" ht="31.5" customHeight="1" s="28">
      <c r="A2" s="30" t="inlineStr">
        <is>
          <t>This drives which companies we target and how we answer visa questions. Answer once; we apply it everywhere, exactly as written.</t>
        </is>
      </c>
    </row>
    <row r="3"/>
    <row r="4" ht="21.75" customHeight="1" s="28">
      <c r="A4" s="31" t="inlineStr">
        <is>
          <t>Status</t>
        </is>
      </c>
    </row>
    <row r="5" ht="18" customHeight="1" s="28">
      <c r="A5" s="43" t="inlineStr">
        <is>
          <t>Current work authorization</t>
        </is>
      </c>
      <c r="B5" s="44" t="n"/>
    </row>
    <row r="6" ht="18" customHeight="1" s="28">
      <c r="A6" s="43" t="inlineStr">
        <is>
          <t>Authorization or visa expiry (YYYY-MM-DD)</t>
        </is>
      </c>
      <c r="B6" s="44" t="n"/>
    </row>
    <row r="7" ht="30" customHeight="1" s="28">
      <c r="A7" s="43" t="inlineStr">
        <is>
          <t>Will you need sponsorship now or in the future?</t>
        </is>
      </c>
      <c r="B7" s="44" t="n"/>
    </row>
    <row r="8" ht="30" customHeight="1" s="28">
      <c r="A8" s="43" t="inlineStr">
        <is>
          <t>Standard sentence we may use about sponsorship</t>
        </is>
      </c>
      <c r="B8" s="44" t="n"/>
      <c r="C8" s="45" t="inlineStr">
        <is>
          <t>Written in your words. We paste this, unchanged, when a recruiter asks.</t>
        </is>
      </c>
    </row>
    <row r="9"/>
    <row r="10" ht="21.75" customHeight="1" s="28">
      <c r="A10" s="31" t="inlineStr">
        <is>
          <t>How strict should we be?</t>
        </is>
      </c>
    </row>
    <row r="11" ht="30" customHeight="1" s="28">
      <c r="A11" s="43" t="inlineStr">
        <is>
          <t>Sponsorship-history filter</t>
        </is>
      </c>
      <c r="B11" s="44" t="n"/>
      <c r="C11" s="45" t="inlineStr">
        <is>
          <t>We hold public USCIS sponsorship data. 'Strict' skips companies with no sponsorship history; 'Prefer' ranks them lower but still applies.</t>
        </is>
      </c>
    </row>
    <row r="12" ht="30" customHeight="1" s="28">
      <c r="A12" s="43" t="inlineStr">
        <is>
          <t>Apply to postings that do not mention sponsorship?</t>
        </is>
      </c>
      <c r="B12" s="44" t="n"/>
    </row>
    <row r="13" ht="30" customHeight="1" s="28">
      <c r="A13" s="43" t="inlineStr">
        <is>
          <t>Skip postings that say 'no sponsorship' / citizens only / clearance?</t>
        </is>
      </c>
      <c r="B13" s="44" t="n"/>
      <c r="C13" s="45" t="inlineStr">
        <is>
          <t>We recommend Yes. These are hard rejections on the employer side.</t>
        </is>
      </c>
    </row>
    <row r="14" ht="30" customHeight="1" s="28">
      <c r="A14" s="43" t="inlineStr">
        <is>
          <t>Anything else about your immigration situation we must respect</t>
        </is>
      </c>
      <c r="B14" s="44" t="n"/>
    </row>
  </sheetData>
  <mergeCells count="4">
    <mergeCell ref="A1:C1"/>
    <mergeCell ref="A4:C4"/>
    <mergeCell ref="A2:C2"/>
    <mergeCell ref="A10:C10"/>
  </mergeCells>
  <conditionalFormatting sqref="B5">
    <cfRule type="expression" rank="0" priority="2" equalAverage="0" aboveAverage="0" dxfId="1" text="" percent="0" bottom="0">
      <formula>ISBLANK(B5)</formula>
    </cfRule>
  </conditionalFormatting>
  <conditionalFormatting sqref="B7">
    <cfRule type="expression" rank="0" priority="3" equalAverage="0" aboveAverage="0" dxfId="1" text="" percent="0" bottom="0">
      <formula>ISBLANK(B7)</formula>
    </cfRule>
  </conditionalFormatting>
  <conditionalFormatting sqref="B8">
    <cfRule type="expression" rank="0" priority="4" equalAverage="0" aboveAverage="0" dxfId="1" text="" percent="0" bottom="0">
      <formula>ISBLANK(B8)</formula>
    </cfRule>
  </conditionalFormatting>
  <conditionalFormatting sqref="B11">
    <cfRule type="expression" rank="0" priority="5" equalAverage="0" aboveAverage="0" dxfId="1" text="" percent="0" bottom="0">
      <formula>ISBLANK(B11)</formula>
    </cfRule>
  </conditionalFormatting>
  <conditionalFormatting sqref="B12">
    <cfRule type="expression" rank="0" priority="6" equalAverage="0" aboveAverage="0" dxfId="1" text="" percent="0" bottom="0">
      <formula>ISBLANK(B12)</formula>
    </cfRule>
  </conditionalFormatting>
  <conditionalFormatting sqref="B13">
    <cfRule type="expression" rank="0" priority="7" equalAverage="0" aboveAverage="0" dxfId="1" text="" percent="0" bottom="0">
      <formula>ISBLANK(B13)</formula>
    </cfRule>
  </conditionalFormatting>
  <dataValidations count="5">
    <dataValidation sqref="B5" showDropDown="0" showInputMessage="0" showErrorMessage="1" allowBlank="0" errorTitle="Pick from the list" error="Use the dropdown arrow to choose one of the options." type="list" errorStyle="stop" operator="between">
      <formula1>Lists!$E$2:$E$11</formula1>
      <formula2>0</formula2>
    </dataValidation>
    <dataValidation sqref="B7" showDropDown="0" showInputMessage="0" showErrorMessage="1" allowBlank="0" errorTitle="Pick from the list" error="Use the dropdown arrow to choose one of the options." type="list" errorStyle="stop" operator="between">
      <formula1>Lists!$F$2:$F$5</formula1>
      <formula2>0</formula2>
    </dataValidation>
    <dataValidation sqref="B11" showDropDown="0" showInputMessage="0" showErrorMessage="1" allowBlank="0" errorTitle="Pick from the list" error="Use the dropdown arrow to choose one of the options." type="list" errorStyle="stop" operator="between">
      <formula1>Lists!$G$2:$G$4</formula1>
      <formula2>0</formula2>
    </dataValidation>
    <dataValidation sqref="B12" showDropDown="0" showInputMessage="0" showErrorMessage="1" allowBlank="0" errorTitle="Pick from the list" error="Use the dropdown arrow to choose one of the options." type="list" errorStyle="stop" operator="between">
      <formula1>Lists!$A$2:$A$3</formula1>
      <formula2>0</formula2>
    </dataValidation>
    <dataValidation sqref="B13" showDropDown="0" showInputMessage="0" showErrorMessage="1" allowBlank="0" errorTitle="Pick from the list" error="Use the dropdown arrow to choose one of the options." type="list" errorStyle="stop" operator="between">
      <formula1>Lists!$A$2:$A$3</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H2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7" min="1" max="1"/>
    <col width="26" customWidth="1" style="27" min="2" max="2"/>
    <col width="34" customWidth="1" style="27" min="3" max="3"/>
    <col width="24" customWidth="1" style="27" min="4" max="4"/>
    <col width="26" customWidth="1" style="27" min="5" max="5"/>
    <col width="14" customWidth="1" style="27" min="6" max="6"/>
    <col width="10" customWidth="1" style="27" min="7" max="7"/>
    <col width="34" customWidth="1" style="27" min="8" max="8"/>
  </cols>
  <sheetData>
    <row r="1" ht="30" customHeight="1" s="28">
      <c r="A1" s="29" t="inlineStr">
        <is>
          <t>Your resumes</t>
        </is>
      </c>
    </row>
    <row r="2" ht="31.5" customHeight="1" s="28">
      <c r="A2" s="30" t="inlineStr">
        <is>
          <t>List every version you use. Attach the actual PDFs when you return this form and write the exact file names so we can match them. We tag each one so the right version is picked for each job.</t>
        </is>
      </c>
    </row>
    <row r="3" ht="30" customHeight="1" s="28">
      <c r="A3" s="41" t="inlineStr">
        <is>
          <t>Rules we follow: we only ever reorder, reword or trim what is already in a resume. We never add employers, titles, tools, dates or numbers that are not in your file. The upload name on every portal is standardized to &lt;Your Name&gt;_Resume.pdf.</t>
        </is>
      </c>
    </row>
    <row r="5" ht="30" customHeight="1" s="28">
      <c r="A5" s="46" t="inlineStr">
        <is>
          <t>#</t>
        </is>
      </c>
      <c r="B5" s="46" t="inlineStr">
        <is>
          <t>Resume label</t>
        </is>
      </c>
      <c r="C5" s="46" t="inlineStr">
        <is>
          <t>File name (as attached)</t>
        </is>
      </c>
      <c r="D5" s="46" t="inlineStr">
        <is>
          <t>Best for which role family</t>
        </is>
      </c>
      <c r="E5" s="46" t="inlineStr">
        <is>
          <t>Industry tags (comma separated)</t>
        </is>
      </c>
      <c r="F5" s="46" t="inlineStr">
        <is>
          <t>Last updated (YYYY-MM)</t>
        </is>
      </c>
      <c r="G5" s="46" t="inlineStr">
        <is>
          <t>Primary?</t>
        </is>
      </c>
      <c r="H5" s="46" t="inlineStr">
        <is>
          <t>Notes</t>
        </is>
      </c>
    </row>
    <row r="6" ht="15" customHeight="1" s="28">
      <c r="A6" s="47" t="n">
        <v>1</v>
      </c>
      <c r="B6" s="44" t="n"/>
      <c r="C6" s="44" t="n"/>
      <c r="D6" s="44" t="n"/>
      <c r="E6" s="44" t="n"/>
      <c r="F6" s="44" t="n"/>
      <c r="G6" s="44" t="n"/>
      <c r="H6" s="44" t="n"/>
    </row>
    <row r="7" ht="15" customHeight="1" s="28">
      <c r="A7" s="47" t="n">
        <v>2</v>
      </c>
      <c r="B7" s="44" t="n"/>
      <c r="C7" s="44" t="n"/>
      <c r="D7" s="44" t="n"/>
      <c r="E7" s="44" t="n"/>
      <c r="F7" s="44" t="n"/>
      <c r="G7" s="44" t="n"/>
      <c r="H7" s="44" t="n"/>
    </row>
    <row r="8" ht="15" customHeight="1" s="28">
      <c r="A8" s="47" t="n">
        <v>3</v>
      </c>
      <c r="B8" s="44" t="n"/>
      <c r="C8" s="44" t="n"/>
      <c r="D8" s="44" t="n"/>
      <c r="E8" s="44" t="n"/>
      <c r="F8" s="44" t="n"/>
      <c r="G8" s="44" t="n"/>
      <c r="H8" s="44" t="n"/>
    </row>
    <row r="9" ht="15" customHeight="1" s="28">
      <c r="A9" s="47" t="n">
        <v>4</v>
      </c>
      <c r="B9" s="44" t="n"/>
      <c r="C9" s="44" t="n"/>
      <c r="D9" s="44" t="n"/>
      <c r="E9" s="44" t="n"/>
      <c r="F9" s="44" t="n"/>
      <c r="G9" s="44" t="n"/>
      <c r="H9" s="44" t="n"/>
    </row>
    <row r="10" ht="15" customHeight="1" s="28">
      <c r="A10" s="47" t="n">
        <v>5</v>
      </c>
      <c r="B10" s="44" t="n"/>
      <c r="C10" s="44" t="n"/>
      <c r="D10" s="44" t="n"/>
      <c r="E10" s="44" t="n"/>
      <c r="F10" s="44" t="n"/>
      <c r="G10" s="44" t="n"/>
      <c r="H10" s="44" t="n"/>
    </row>
    <row r="11" ht="15" customHeight="1" s="28">
      <c r="A11" s="47" t="n">
        <v>6</v>
      </c>
      <c r="B11" s="44" t="n"/>
      <c r="C11" s="44" t="n"/>
      <c r="D11" s="44" t="n"/>
      <c r="E11" s="44" t="n"/>
      <c r="F11" s="44" t="n"/>
      <c r="G11" s="44" t="n"/>
      <c r="H11" s="44" t="n"/>
    </row>
    <row r="12" ht="15" customHeight="1" s="28">
      <c r="A12" s="47" t="n">
        <v>7</v>
      </c>
      <c r="B12" s="44" t="n"/>
      <c r="C12" s="44" t="n"/>
      <c r="D12" s="44" t="n"/>
      <c r="E12" s="44" t="n"/>
      <c r="F12" s="44" t="n"/>
      <c r="G12" s="44" t="n"/>
      <c r="H12" s="44" t="n"/>
    </row>
    <row r="13" ht="15" customHeight="1" s="28">
      <c r="A13" s="47" t="n">
        <v>8</v>
      </c>
      <c r="B13" s="44" t="n"/>
      <c r="C13" s="44" t="n"/>
      <c r="D13" s="44" t="n"/>
      <c r="E13" s="44" t="n"/>
      <c r="F13" s="44" t="n"/>
      <c r="G13" s="44" t="n"/>
      <c r="H13" s="44" t="n"/>
    </row>
    <row r="14" ht="15" customHeight="1" s="28">
      <c r="A14" s="47" t="n">
        <v>9</v>
      </c>
      <c r="B14" s="44" t="n"/>
      <c r="C14" s="44" t="n"/>
      <c r="D14" s="44" t="n"/>
      <c r="E14" s="44" t="n"/>
      <c r="F14" s="44" t="n"/>
      <c r="G14" s="44" t="n"/>
      <c r="H14" s="44" t="n"/>
    </row>
    <row r="15" ht="15" customHeight="1" s="28">
      <c r="A15" s="47" t="n">
        <v>10</v>
      </c>
      <c r="B15" s="44" t="n"/>
      <c r="C15" s="44" t="n"/>
      <c r="D15" s="44" t="n"/>
      <c r="E15" s="44" t="n"/>
      <c r="F15" s="44" t="n"/>
      <c r="G15" s="44" t="n"/>
      <c r="H15" s="44" t="n"/>
    </row>
    <row r="16" ht="15" customHeight="1" s="28">
      <c r="A16" s="47" t="n">
        <v>11</v>
      </c>
      <c r="B16" s="44" t="n"/>
      <c r="C16" s="44" t="n"/>
      <c r="D16" s="44" t="n"/>
      <c r="E16" s="44" t="n"/>
      <c r="F16" s="44" t="n"/>
      <c r="G16" s="44" t="n"/>
      <c r="H16" s="44" t="n"/>
    </row>
    <row r="17" ht="15" customHeight="1" s="28">
      <c r="A17" s="47" t="n">
        <v>12</v>
      </c>
      <c r="B17" s="44" t="n"/>
      <c r="C17" s="44" t="n"/>
      <c r="D17" s="44" t="n"/>
      <c r="E17" s="44" t="n"/>
      <c r="F17" s="44" t="n"/>
      <c r="G17" s="44" t="n"/>
      <c r="H17" s="44" t="n"/>
    </row>
    <row r="18"/>
    <row r="19" ht="21.75" customHeight="1" s="28">
      <c r="A19" s="31" t="inlineStr">
        <is>
          <t>Resume preferences</t>
        </is>
      </c>
    </row>
    <row r="20" ht="18" customHeight="1" s="28">
      <c r="A20" s="43" t="inlineStr">
        <is>
          <t>Standard upload file name we should use</t>
        </is>
      </c>
      <c r="B20" s="44" t="n"/>
      <c r="C20" s="45" t="n"/>
    </row>
    <row r="21" ht="30" customHeight="1" s="28">
      <c r="A21" s="43" t="inlineStr">
        <is>
          <t>Phrases you never want in a resume (comma separated)</t>
        </is>
      </c>
      <c r="B21" s="44" t="n"/>
    </row>
    <row r="22" ht="30" customHeight="1" s="28">
      <c r="A22" s="43" t="inlineStr">
        <is>
          <t>May we adjust the summary line to match each job title?</t>
        </is>
      </c>
      <c r="B22" s="44" t="n"/>
    </row>
  </sheetData>
  <mergeCells count="4">
    <mergeCell ref="A3:H3"/>
    <mergeCell ref="A19:H19"/>
    <mergeCell ref="A2:H2"/>
    <mergeCell ref="A1:H1"/>
  </mergeCells>
  <conditionalFormatting sqref="B6:B17">
    <cfRule type="expression" rank="0" priority="2" equalAverage="0" aboveAverage="0" dxfId="1" text="" percent="0" bottom="0">
      <formula>ISBLANK(B6)</formula>
    </cfRule>
  </conditionalFormatting>
  <conditionalFormatting sqref="C6:C17">
    <cfRule type="expression" rank="0" priority="3" equalAverage="0" aboveAverage="0" dxfId="1" text="" percent="0" bottom="0">
      <formula>ISBLANK(C6)</formula>
    </cfRule>
  </conditionalFormatting>
  <conditionalFormatting sqref="D6:D17">
    <cfRule type="expression" rank="0" priority="4" equalAverage="0" aboveAverage="0" dxfId="1" text="" percent="0" bottom="0">
      <formula>ISBLANK(D6)</formula>
    </cfRule>
  </conditionalFormatting>
  <conditionalFormatting sqref="B20">
    <cfRule type="expression" rank="0" priority="5" equalAverage="0" aboveAverage="0" dxfId="1" text="" percent="0" bottom="0">
      <formula>ISBLANK(B20)</formula>
    </cfRule>
  </conditionalFormatting>
  <conditionalFormatting sqref="B22">
    <cfRule type="expression" rank="0" priority="6" equalAverage="0" aboveAverage="0" dxfId="1" text="" percent="0" bottom="0">
      <formula>ISBLANK(B22)</formula>
    </cfRule>
  </conditionalFormatting>
  <dataValidations count="3">
    <dataValidation sqref="D6:D17" showDropDown="0" showInputMessage="0" showErrorMessage="1" allowBlank="0" errorTitle="Pick from the list" error="Use the dropdown arrow to choose one of the options." type="list" errorStyle="stop" operator="between">
      <formula1>Lists!$M$2:$M$14</formula1>
      <formula2>0</formula2>
    </dataValidation>
    <dataValidation sqref="G6:G17" showDropDown="0" showInputMessage="0" showErrorMessage="1" allowBlank="0" errorTitle="Pick from the list" error="Use the dropdown arrow to choose one of the options." type="list" errorStyle="stop" operator="between">
      <formula1>Lists!$A$2:$A$3</formula1>
      <formula2>0</formula2>
    </dataValidation>
    <dataValidation sqref="B22" showDropDown="0" showInputMessage="0" showErrorMessage="1" allowBlank="0" errorTitle="Pick from the list" error="Use the dropdown arrow to choose one of the options." type="list" errorStyle="stop" operator="between">
      <formula1>Lists!$A$2:$A$3</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E5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7" min="1" max="1"/>
    <col width="30" customWidth="1" style="27" min="2" max="2"/>
    <col width="20" customWidth="1" style="27" min="3" max="3"/>
    <col width="14" customWidth="1" style="27" min="4" max="4"/>
    <col width="46" customWidth="1" style="27" min="5" max="5"/>
  </cols>
  <sheetData>
    <row r="1" ht="30" customHeight="1" s="28">
      <c r="A1" s="29" t="inlineStr">
        <is>
          <t>Experience matrix (the truth table)</t>
        </is>
      </c>
    </row>
    <row r="2" ht="31.5" customHeight="1" s="28">
      <c r="A2" s="30" t="inlineStr">
        <is>
          <t>Every 'years of experience with X' question is answered from this table and nothing else. Whole numbers, rounded down. If a skill is not here, we answer 0 or skip.</t>
        </is>
      </c>
    </row>
    <row r="4" ht="30" customHeight="1" s="28">
      <c r="A4" s="46" t="inlineStr">
        <is>
          <t>#</t>
        </is>
      </c>
      <c r="B4" s="46" t="inlineStr">
        <is>
          <t>Skill / tool / platform</t>
        </is>
      </c>
      <c r="C4" s="46" t="inlineStr">
        <is>
          <t>Category</t>
        </is>
      </c>
      <c r="D4" s="46" t="inlineStr">
        <is>
          <t>Years (whole)</t>
        </is>
      </c>
      <c r="E4" s="46" t="inlineStr">
        <is>
          <t>Where you used it (employer or project)</t>
        </is>
      </c>
    </row>
    <row r="5" ht="15" customHeight="1" s="28">
      <c r="A5" s="47" t="n">
        <v>1</v>
      </c>
      <c r="B5" s="44" t="inlineStr">
        <is>
          <t>Python</t>
        </is>
      </c>
      <c r="C5" s="44" t="inlineStr">
        <is>
          <t>Language</t>
        </is>
      </c>
      <c r="D5" s="44" t="n">
        <v>9</v>
      </c>
      <c r="E5" s="44" t="inlineStr">
        <is>
          <t>All roles since 2017</t>
        </is>
      </c>
    </row>
    <row r="6" ht="15" customHeight="1" s="28">
      <c r="A6" s="47" t="n">
        <v>2</v>
      </c>
      <c r="B6" s="44" t="n"/>
      <c r="C6" s="44" t="n"/>
      <c r="D6" s="44" t="n"/>
      <c r="E6" s="44" t="n"/>
    </row>
    <row r="7" ht="15" customHeight="1" s="28">
      <c r="A7" s="47" t="n">
        <v>3</v>
      </c>
      <c r="B7" s="44" t="n"/>
      <c r="C7" s="44" t="n"/>
      <c r="D7" s="44" t="n"/>
      <c r="E7" s="44" t="n"/>
    </row>
    <row r="8" ht="15" customHeight="1" s="28">
      <c r="A8" s="47" t="n">
        <v>4</v>
      </c>
      <c r="B8" s="44" t="n"/>
      <c r="C8" s="44" t="n"/>
      <c r="D8" s="44" t="n"/>
      <c r="E8" s="44" t="n"/>
    </row>
    <row r="9" ht="15" customHeight="1" s="28">
      <c r="A9" s="47" t="n">
        <v>5</v>
      </c>
      <c r="B9" s="44" t="n"/>
      <c r="C9" s="44" t="n"/>
      <c r="D9" s="44" t="n"/>
      <c r="E9" s="44" t="n"/>
    </row>
    <row r="10" ht="15" customHeight="1" s="28">
      <c r="A10" s="47" t="n">
        <v>6</v>
      </c>
      <c r="B10" s="44" t="n"/>
      <c r="C10" s="44" t="n"/>
      <c r="D10" s="44" t="n"/>
      <c r="E10" s="44" t="n"/>
    </row>
    <row r="11" ht="15" customHeight="1" s="28">
      <c r="A11" s="47" t="n">
        <v>7</v>
      </c>
      <c r="B11" s="44" t="n"/>
      <c r="C11" s="44" t="n"/>
      <c r="D11" s="44" t="n"/>
      <c r="E11" s="44" t="n"/>
    </row>
    <row r="12" ht="15" customHeight="1" s="28">
      <c r="A12" s="47" t="n">
        <v>8</v>
      </c>
      <c r="B12" s="44" t="n"/>
      <c r="C12" s="44" t="n"/>
      <c r="D12" s="44" t="n"/>
      <c r="E12" s="44" t="n"/>
    </row>
    <row r="13" ht="15" customHeight="1" s="28">
      <c r="A13" s="47" t="n">
        <v>9</v>
      </c>
      <c r="B13" s="44" t="n"/>
      <c r="C13" s="44" t="n"/>
      <c r="D13" s="44" t="n"/>
      <c r="E13" s="44" t="n"/>
    </row>
    <row r="14" ht="15" customHeight="1" s="28">
      <c r="A14" s="47" t="n">
        <v>10</v>
      </c>
      <c r="B14" s="44" t="n"/>
      <c r="C14" s="44" t="n"/>
      <c r="D14" s="44" t="n"/>
      <c r="E14" s="44" t="n"/>
    </row>
    <row r="15" ht="15" customHeight="1" s="28">
      <c r="A15" s="47" t="n">
        <v>11</v>
      </c>
      <c r="B15" s="44" t="n"/>
      <c r="C15" s="44" t="n"/>
      <c r="D15" s="44" t="n"/>
      <c r="E15" s="44" t="n"/>
    </row>
    <row r="16" ht="15" customHeight="1" s="28">
      <c r="A16" s="47" t="n">
        <v>12</v>
      </c>
      <c r="B16" s="44" t="n"/>
      <c r="C16" s="44" t="n"/>
      <c r="D16" s="44" t="n"/>
      <c r="E16" s="44" t="n"/>
    </row>
    <row r="17" ht="15" customHeight="1" s="28">
      <c r="A17" s="47" t="n">
        <v>13</v>
      </c>
      <c r="B17" s="44" t="n"/>
      <c r="C17" s="44" t="n"/>
      <c r="D17" s="44" t="n"/>
      <c r="E17" s="44" t="n"/>
    </row>
    <row r="18" ht="15" customHeight="1" s="28">
      <c r="A18" s="47" t="n">
        <v>14</v>
      </c>
      <c r="B18" s="44" t="n"/>
      <c r="C18" s="44" t="n"/>
      <c r="D18" s="44" t="n"/>
      <c r="E18" s="44" t="n"/>
    </row>
    <row r="19" ht="15" customHeight="1" s="28">
      <c r="A19" s="47" t="n">
        <v>15</v>
      </c>
      <c r="B19" s="44" t="n"/>
      <c r="C19" s="44" t="n"/>
      <c r="D19" s="44" t="n"/>
      <c r="E19" s="44" t="n"/>
    </row>
    <row r="20" ht="15" customHeight="1" s="28">
      <c r="A20" s="47" t="n">
        <v>16</v>
      </c>
      <c r="B20" s="44" t="n"/>
      <c r="C20" s="44" t="n"/>
      <c r="D20" s="44" t="n"/>
      <c r="E20" s="44" t="n"/>
    </row>
    <row r="21" ht="15" customHeight="1" s="28">
      <c r="A21" s="47" t="n">
        <v>17</v>
      </c>
      <c r="B21" s="44" t="n"/>
      <c r="C21" s="44" t="n"/>
      <c r="D21" s="44" t="n"/>
      <c r="E21" s="44" t="n"/>
    </row>
    <row r="22" ht="15" customHeight="1" s="28">
      <c r="A22" s="47" t="n">
        <v>18</v>
      </c>
      <c r="B22" s="44" t="n"/>
      <c r="C22" s="44" t="n"/>
      <c r="D22" s="44" t="n"/>
      <c r="E22" s="44" t="n"/>
    </row>
    <row r="23" ht="15" customHeight="1" s="28">
      <c r="A23" s="47" t="n">
        <v>19</v>
      </c>
      <c r="B23" s="44" t="n"/>
      <c r="C23" s="44" t="n"/>
      <c r="D23" s="44" t="n"/>
      <c r="E23" s="44" t="n"/>
    </row>
    <row r="24" ht="15" customHeight="1" s="28">
      <c r="A24" s="47" t="n">
        <v>20</v>
      </c>
      <c r="B24" s="44" t="n"/>
      <c r="C24" s="44" t="n"/>
      <c r="D24" s="44" t="n"/>
      <c r="E24" s="44" t="n"/>
    </row>
    <row r="25" ht="15" customHeight="1" s="28">
      <c r="A25" s="47" t="n">
        <v>21</v>
      </c>
      <c r="B25" s="44" t="n"/>
      <c r="C25" s="44" t="n"/>
      <c r="D25" s="44" t="n"/>
      <c r="E25" s="44" t="n"/>
    </row>
    <row r="26" ht="15" customHeight="1" s="28">
      <c r="A26" s="47" t="n">
        <v>22</v>
      </c>
      <c r="B26" s="44" t="n"/>
      <c r="C26" s="44" t="n"/>
      <c r="D26" s="44" t="n"/>
      <c r="E26" s="44" t="n"/>
    </row>
    <row r="27" ht="15" customHeight="1" s="28">
      <c r="A27" s="47" t="n">
        <v>23</v>
      </c>
      <c r="B27" s="44" t="n"/>
      <c r="C27" s="44" t="n"/>
      <c r="D27" s="44" t="n"/>
      <c r="E27" s="44" t="n"/>
    </row>
    <row r="28" ht="15" customHeight="1" s="28">
      <c r="A28" s="47" t="n">
        <v>24</v>
      </c>
      <c r="B28" s="44" t="n"/>
      <c r="C28" s="44" t="n"/>
      <c r="D28" s="44" t="n"/>
      <c r="E28" s="44" t="n"/>
    </row>
    <row r="29" ht="15" customHeight="1" s="28">
      <c r="A29" s="47" t="n">
        <v>25</v>
      </c>
      <c r="B29" s="44" t="n"/>
      <c r="C29" s="44" t="n"/>
      <c r="D29" s="44" t="n"/>
      <c r="E29" s="44" t="n"/>
    </row>
    <row r="30" ht="15" customHeight="1" s="28">
      <c r="A30" s="47" t="n">
        <v>26</v>
      </c>
      <c r="B30" s="44" t="n"/>
      <c r="C30" s="44" t="n"/>
      <c r="D30" s="44" t="n"/>
      <c r="E30" s="44" t="n"/>
    </row>
    <row r="31" ht="15" customHeight="1" s="28">
      <c r="A31" s="47" t="n">
        <v>27</v>
      </c>
      <c r="B31" s="44" t="n"/>
      <c r="C31" s="44" t="n"/>
      <c r="D31" s="44" t="n"/>
      <c r="E31" s="44" t="n"/>
    </row>
    <row r="32" ht="15" customHeight="1" s="28">
      <c r="A32" s="47" t="n">
        <v>28</v>
      </c>
      <c r="B32" s="44" t="n"/>
      <c r="C32" s="44" t="n"/>
      <c r="D32" s="44" t="n"/>
      <c r="E32" s="44" t="n"/>
    </row>
    <row r="33" ht="15" customHeight="1" s="28">
      <c r="A33" s="47" t="n">
        <v>29</v>
      </c>
      <c r="B33" s="44" t="n"/>
      <c r="C33" s="44" t="n"/>
      <c r="D33" s="44" t="n"/>
      <c r="E33" s="44" t="n"/>
    </row>
    <row r="34" ht="15" customHeight="1" s="28">
      <c r="A34" s="47" t="n">
        <v>30</v>
      </c>
      <c r="B34" s="44" t="n"/>
      <c r="C34" s="44" t="n"/>
      <c r="D34" s="44" t="n"/>
      <c r="E34" s="44" t="n"/>
    </row>
    <row r="35"/>
    <row r="36" ht="21.75" customHeight="1" s="28">
      <c r="A36" s="31" t="inlineStr">
        <is>
          <t>Employment history (for truthful dates and titles)</t>
        </is>
      </c>
    </row>
    <row r="37" ht="30" customHeight="1" s="28">
      <c r="A37" s="46" t="inlineStr">
        <is>
          <t>#</t>
        </is>
      </c>
      <c r="B37" s="46" t="n"/>
      <c r="C37" s="46" t="n"/>
      <c r="D37" s="46" t="n"/>
      <c r="E37" s="46" t="n"/>
    </row>
    <row r="38" ht="23.85" customHeight="1" s="28">
      <c r="A38" s="47" t="n">
        <v>1</v>
      </c>
      <c r="B38" s="44" t="n"/>
      <c r="C38" s="44" t="n"/>
      <c r="D38" s="44" t="n"/>
      <c r="E38" s="44" t="n"/>
    </row>
    <row r="39" ht="23.85" customHeight="1" s="28">
      <c r="A39" s="47" t="n">
        <v>2</v>
      </c>
      <c r="B39" s="44" t="n"/>
      <c r="C39" s="44" t="n"/>
      <c r="D39" s="44" t="n"/>
      <c r="E39" s="44" t="n"/>
    </row>
    <row r="40" ht="23.85" customHeight="1" s="28">
      <c r="A40" s="47" t="n">
        <v>3</v>
      </c>
      <c r="B40" s="44" t="n"/>
      <c r="C40" s="44" t="n"/>
      <c r="D40" s="44" t="n"/>
      <c r="E40" s="44" t="n"/>
    </row>
    <row r="41" ht="15" customHeight="1" s="28">
      <c r="A41" s="47" t="n">
        <v>4</v>
      </c>
      <c r="B41" s="44" t="n"/>
      <c r="C41" s="44" t="n"/>
      <c r="D41" s="44" t="n"/>
      <c r="E41" s="44" t="n"/>
    </row>
    <row r="42" ht="15" customHeight="1" s="28">
      <c r="A42" s="47" t="n">
        <v>5</v>
      </c>
      <c r="B42" s="44" t="n"/>
      <c r="C42" s="44" t="n"/>
      <c r="D42" s="44" t="n"/>
      <c r="E42" s="44" t="n"/>
    </row>
    <row r="43" ht="15" customHeight="1" s="28">
      <c r="A43" s="47" t="n">
        <v>6</v>
      </c>
      <c r="B43" s="44" t="n"/>
      <c r="C43" s="44" t="n"/>
      <c r="D43" s="44" t="n"/>
      <c r="E43" s="44" t="n"/>
    </row>
    <row r="44"/>
    <row r="45" ht="21.75" customHeight="1" s="28">
      <c r="A45" s="31" t="inlineStr">
        <is>
          <t>Education and certifications</t>
        </is>
      </c>
    </row>
    <row r="46" ht="30" customHeight="1" s="28">
      <c r="A46" s="46" t="inlineStr">
        <is>
          <t>#</t>
        </is>
      </c>
      <c r="B46" s="46" t="n"/>
      <c r="C46" s="46" t="n"/>
      <c r="D46" s="46" t="n"/>
      <c r="E46" s="46" t="n"/>
    </row>
    <row r="47" ht="15" customHeight="1" s="28">
      <c r="A47" s="47" t="n">
        <v>1</v>
      </c>
      <c r="B47" s="44" t="n"/>
      <c r="C47" s="44" t="n"/>
      <c r="D47" s="44" t="n"/>
      <c r="E47" s="44" t="n"/>
    </row>
    <row r="48" ht="23.85" customHeight="1" s="28">
      <c r="A48" s="47" t="n">
        <v>2</v>
      </c>
      <c r="B48" s="44" t="n"/>
      <c r="C48" s="44" t="n"/>
      <c r="D48" s="44" t="n"/>
      <c r="E48" s="44" t="n"/>
    </row>
    <row r="49" ht="23.85" customHeight="1" s="28">
      <c r="A49" s="47" t="n">
        <v>3</v>
      </c>
      <c r="B49" s="44" t="n"/>
      <c r="C49" s="44" t="n"/>
      <c r="D49" s="44" t="n"/>
      <c r="E49" s="44" t="n"/>
    </row>
    <row r="50" ht="15" customHeight="1" s="28">
      <c r="A50" s="47" t="n">
        <v>4</v>
      </c>
      <c r="B50" s="44" t="n"/>
      <c r="C50" s="44" t="n"/>
      <c r="D50" s="44" t="n"/>
      <c r="E50" s="44" t="n"/>
    </row>
    <row r="51" ht="15" customHeight="1" s="28">
      <c r="A51" s="47" t="n">
        <v>5</v>
      </c>
      <c r="B51" s="44" t="n"/>
      <c r="C51" s="44" t="n"/>
      <c r="D51" s="44" t="n"/>
      <c r="E51" s="44" t="n"/>
    </row>
    <row r="52" ht="15" customHeight="1" s="28">
      <c r="A52" s="47" t="n">
        <v>6</v>
      </c>
      <c r="B52" s="44" t="n"/>
      <c r="C52" s="44" t="n"/>
      <c r="D52" s="44" t="n"/>
      <c r="E52" s="44" t="n"/>
    </row>
  </sheetData>
  <mergeCells count="4">
    <mergeCell ref="A2:E2"/>
    <mergeCell ref="A1:E1"/>
    <mergeCell ref="A45:E45"/>
    <mergeCell ref="A36:E36"/>
  </mergeCells>
  <conditionalFormatting sqref="B5:B34">
    <cfRule type="expression" rank="0" priority="2" equalAverage="0" aboveAverage="0" dxfId="1" text="" percent="0" bottom="0">
      <formula>ISBLANK(B5)</formula>
    </cfRule>
  </conditionalFormatting>
  <conditionalFormatting sqref="D5:D34">
    <cfRule type="expression" rank="0" priority="3" equalAverage="0" aboveAverage="0" dxfId="1" text="" percent="0" bottom="0">
      <formula>ISBLANK(D5)</formula>
    </cfRule>
  </conditionalFormatting>
  <conditionalFormatting sqref="B38:B43">
    <cfRule type="expression" rank="0" priority="4" equalAverage="0" aboveAverage="0" dxfId="1" text="" percent="0" bottom="0">
      <formula>ISBLANK(B38)</formula>
    </cfRule>
  </conditionalFormatting>
  <conditionalFormatting sqref="C38:C43">
    <cfRule type="expression" rank="0" priority="5" equalAverage="0" aboveAverage="0" dxfId="1" text="" percent="0" bottom="0">
      <formula>ISBLANK(C38)</formula>
    </cfRule>
  </conditionalFormatting>
  <conditionalFormatting sqref="D38:D43">
    <cfRule type="expression" rank="0" priority="6" equalAverage="0" aboveAverage="0" dxfId="1" text="" percent="0" bottom="0">
      <formula>ISBLANK(D38)</formula>
    </cfRule>
  </conditionalFormatting>
  <conditionalFormatting sqref="B47:B52">
    <cfRule type="expression" rank="0" priority="7" equalAverage="0" aboveAverage="0" dxfId="1" text="" percent="0" bottom="0">
      <formula>ISBLANK(B47)</formula>
    </cfRule>
  </conditionalFormatting>
  <conditionalFormatting sqref="C47:C52">
    <cfRule type="expression" rank="0" priority="8" equalAverage="0" aboveAverage="0" dxfId="1" text="" percent="0" bottom="0">
      <formula>ISBLANK(C47)</formula>
    </cfRule>
  </conditionalFormatting>
  <dataValidations count="1">
    <dataValidation sqref="C5:C34" showDropDown="0" showInputMessage="0" showErrorMessage="1" allowBlank="0" errorTitle="Pick from the list" error="Use the dropdown arrow to choose one of the options." type="list" errorStyle="stop" operator="between">
      <formula1>Lists!$P$2:$P$11</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G2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7" min="1" max="1"/>
    <col width="34" customWidth="1" style="27" min="2" max="2"/>
    <col width="24" customWidth="1" style="27" min="3" max="3"/>
    <col width="18" customWidth="1" style="27" min="4" max="4"/>
    <col width="30" customWidth="1" style="27" min="5" max="5"/>
    <col width="40" customWidth="1" style="27" min="6" max="6"/>
    <col width="30" customWidth="1" style="27" min="7" max="7"/>
  </cols>
  <sheetData>
    <row r="1" ht="30" customHeight="1" s="28">
      <c r="A1" s="29" t="inlineStr">
        <is>
          <t>Roles you are targeting</t>
        </is>
      </c>
    </row>
    <row r="2" ht="31.5" customHeight="1" s="28">
      <c r="A2" s="30" t="inlineStr">
        <is>
          <t>Most wanted first. We search for these titles and the words recruiters use for them.</t>
        </is>
      </c>
    </row>
    <row r="4" ht="30" customHeight="1" s="28">
      <c r="A4" s="46" t="inlineStr">
        <is>
          <t>Priority</t>
        </is>
      </c>
      <c r="B4" s="46" t="inlineStr">
        <is>
          <t>Job title</t>
        </is>
      </c>
      <c r="C4" s="46" t="inlineStr">
        <is>
          <t>Role family</t>
        </is>
      </c>
      <c r="D4" s="46" t="inlineStr">
        <is>
          <t>Seniority</t>
        </is>
      </c>
      <c r="E4" s="46" t="inlineStr">
        <is>
          <t>Target industries</t>
        </is>
      </c>
      <c r="F4" s="46" t="inlineStr">
        <is>
          <t>Keywords recruiters use for this</t>
        </is>
      </c>
      <c r="G4" s="46" t="inlineStr">
        <is>
          <t>Titles to avoid</t>
        </is>
      </c>
    </row>
    <row r="5" ht="23.85" customHeight="1" s="28">
      <c r="A5" s="44" t="inlineStr">
        <is>
          <t>1</t>
        </is>
      </c>
      <c r="B5" s="44" t="inlineStr">
        <is>
          <t>Senior Data Engineer</t>
        </is>
      </c>
      <c r="C5" s="44" t="inlineStr">
        <is>
          <t>Data Engineer</t>
        </is>
      </c>
      <c r="D5" s="44" t="inlineStr">
        <is>
          <t>Senior</t>
        </is>
      </c>
      <c r="E5" s="44" t="inlineStr">
        <is>
          <t>Energy, Fintech, SaaS / Tech</t>
        </is>
      </c>
      <c r="F5" s="44" t="inlineStr">
        <is>
          <t>lakehouse, Databricks, Snowflake, dbt, Airflow, AWS</t>
        </is>
      </c>
      <c r="G5" s="44" t="inlineStr">
        <is>
          <t>Data Analyst, BI Developer</t>
        </is>
      </c>
    </row>
    <row r="6" ht="15" customHeight="1" s="28">
      <c r="A6" s="44" t="n"/>
      <c r="B6" s="44" t="n"/>
      <c r="C6" s="44" t="n"/>
      <c r="D6" s="44" t="n"/>
      <c r="E6" s="44" t="n"/>
      <c r="F6" s="44" t="n"/>
      <c r="G6" s="44" t="n"/>
    </row>
    <row r="7" ht="23.85" customHeight="1" s="28">
      <c r="A7" s="44" t="n"/>
      <c r="B7" s="44" t="n"/>
      <c r="C7" s="44" t="n"/>
      <c r="D7" s="44" t="n"/>
      <c r="E7" s="44" t="n"/>
      <c r="F7" s="44" t="n"/>
      <c r="G7" s="44" t="n"/>
    </row>
    <row r="8" ht="15" customHeight="1" s="28">
      <c r="A8" s="44" t="n"/>
      <c r="B8" s="44" t="n"/>
      <c r="C8" s="44" t="n"/>
      <c r="D8" s="44" t="n"/>
      <c r="E8" s="44" t="n"/>
      <c r="F8" s="44" t="n"/>
      <c r="G8" s="44" t="n"/>
    </row>
    <row r="9" ht="15" customHeight="1" s="28">
      <c r="A9" s="44" t="n"/>
      <c r="B9" s="44" t="n"/>
      <c r="C9" s="44" t="n"/>
      <c r="D9" s="44" t="n"/>
      <c r="E9" s="44" t="n"/>
      <c r="F9" s="44" t="n"/>
      <c r="G9" s="44" t="n"/>
    </row>
    <row r="10" ht="15" customHeight="1" s="28">
      <c r="A10" s="44" t="n"/>
      <c r="B10" s="44" t="n"/>
      <c r="C10" s="44" t="n"/>
      <c r="D10" s="44" t="n"/>
      <c r="E10" s="44" t="n"/>
      <c r="F10" s="44" t="n"/>
      <c r="G10" s="44" t="n"/>
    </row>
    <row r="11" ht="15" customHeight="1" s="28">
      <c r="A11" s="44" t="n"/>
      <c r="B11" s="44" t="n"/>
      <c r="C11" s="44" t="n"/>
      <c r="D11" s="44" t="n"/>
      <c r="E11" s="44" t="n"/>
      <c r="F11" s="44" t="n"/>
      <c r="G11" s="44" t="n"/>
    </row>
    <row r="12" ht="15" customHeight="1" s="28">
      <c r="A12" s="44" t="n"/>
      <c r="B12" s="44" t="n"/>
      <c r="C12" s="44" t="n"/>
      <c r="D12" s="44" t="n"/>
      <c r="E12" s="44" t="n"/>
      <c r="F12" s="44" t="n"/>
      <c r="G12" s="44" t="n"/>
    </row>
    <row r="13" ht="15" customHeight="1" s="28">
      <c r="A13" s="44" t="n"/>
      <c r="B13" s="44" t="n"/>
      <c r="C13" s="44" t="n"/>
      <c r="D13" s="44" t="n"/>
      <c r="E13" s="44" t="n"/>
      <c r="F13" s="44" t="n"/>
      <c r="G13" s="44" t="n"/>
    </row>
    <row r="14" ht="15" customHeight="1" s="28">
      <c r="A14" s="44" t="n"/>
      <c r="B14" s="44" t="n"/>
      <c r="C14" s="44" t="n"/>
      <c r="D14" s="44" t="n"/>
      <c r="E14" s="44" t="n"/>
      <c r="F14" s="44" t="n"/>
      <c r="G14" s="44" t="n"/>
    </row>
    <row r="15"/>
    <row r="16" ht="21.75" customHeight="1" s="28">
      <c r="A16" s="31" t="n"/>
    </row>
    <row r="17" ht="18" customHeight="1" s="28">
      <c r="A17" s="43" t="n"/>
      <c r="B17" s="44" t="n"/>
    </row>
    <row r="18" ht="18" customHeight="1" s="28">
      <c r="A18" s="43" t="n"/>
      <c r="B18" s="44" t="n"/>
    </row>
    <row r="19" ht="30" customHeight="1" s="28">
      <c r="A19" s="43" t="n"/>
      <c r="B19" s="44" t="n"/>
      <c r="C19" s="45" t="n"/>
    </row>
    <row r="20" ht="18" customHeight="1" s="28">
      <c r="A20" s="43" t="n"/>
      <c r="B20" s="44" t="n"/>
      <c r="C20" s="45" t="n"/>
    </row>
  </sheetData>
  <mergeCells count="3">
    <mergeCell ref="A2:G2"/>
    <mergeCell ref="A16:G16"/>
    <mergeCell ref="A1:G1"/>
  </mergeCells>
  <conditionalFormatting sqref="A5:A14">
    <cfRule type="expression" rank="0" priority="2" equalAverage="0" aboveAverage="0" dxfId="1" text="" percent="0" bottom="0">
      <formula>ISBLANK(A5)</formula>
    </cfRule>
  </conditionalFormatting>
  <conditionalFormatting sqref="B5:B14">
    <cfRule type="expression" rank="0" priority="3" equalAverage="0" aboveAverage="0" dxfId="1" text="" percent="0" bottom="0">
      <formula>ISBLANK(B5)</formula>
    </cfRule>
  </conditionalFormatting>
  <conditionalFormatting sqref="C5:C14">
    <cfRule type="expression" rank="0" priority="4" equalAverage="0" aboveAverage="0" dxfId="1" text="" percent="0" bottom="0">
      <formula>ISBLANK(C5)</formula>
    </cfRule>
  </conditionalFormatting>
  <conditionalFormatting sqref="D5:D14">
    <cfRule type="expression" rank="0" priority="5" equalAverage="0" aboveAverage="0" dxfId="1" text="" percent="0" bottom="0">
      <formula>ISBLANK(D5)</formula>
    </cfRule>
  </conditionalFormatting>
  <conditionalFormatting sqref="B17">
    <cfRule type="expression" rank="0" priority="6" equalAverage="0" aboveAverage="0" dxfId="1" text="" percent="0" bottom="0">
      <formula>ISBLANK(B17)</formula>
    </cfRule>
  </conditionalFormatting>
  <conditionalFormatting sqref="B19">
    <cfRule type="expression" rank="0" priority="7" equalAverage="0" aboveAverage="0" dxfId="1" text="" percent="0" bottom="0">
      <formula>ISBLANK(B19)</formula>
    </cfRule>
  </conditionalFormatting>
  <dataValidations count="4">
    <dataValidation sqref="A5:A14" showDropDown="0" showInputMessage="0" showErrorMessage="1" allowBlank="0" errorTitle="Pick from the list" error="Use the dropdown arrow to choose one of the options." type="list" errorStyle="stop" operator="between">
      <formula1>Lists!$Y$2:$Y$11</formula1>
      <formula2>0</formula2>
    </dataValidation>
    <dataValidation sqref="C5:C14" showDropDown="0" showInputMessage="0" showErrorMessage="1" allowBlank="0" errorTitle="Pick from the list" error="Use the dropdown arrow to choose one of the options." type="list" errorStyle="stop" operator="between">
      <formula1>Lists!$M$2:$M$14</formula1>
      <formula2>0</formula2>
    </dataValidation>
    <dataValidation sqref="D5:D14" showDropDown="0" showInputMessage="0" showErrorMessage="1" allowBlank="0" errorTitle="Pick from the list" error="Use the dropdown arrow to choose one of the options." type="list" errorStyle="stop" operator="between">
      <formula1>Lists!$L$2:$L$7</formula1>
      <formula2>0</formula2>
    </dataValidation>
    <dataValidation sqref="B17" showDropDown="0" showInputMessage="0" showErrorMessage="1" allowBlank="0" errorTitle="Pick from the list" error="Use the dropdown arrow to choose one of the options." type="list" errorStyle="stop" operator="between">
      <formula1>Lists!$O$2:$O$5</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C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7" min="1" max="1"/>
    <col width="40" customWidth="1" style="27" min="2" max="2"/>
    <col width="46" customWidth="1" style="27" min="3" max="3"/>
  </cols>
  <sheetData>
    <row r="1" ht="30" customHeight="1" s="28">
      <c r="A1" s="29" t="inlineStr">
        <is>
          <t>Location, employment and pay preferences</t>
        </is>
      </c>
    </row>
    <row r="2" ht="31.5" customHeight="1" s="28">
      <c r="A2" s="30" t="inlineStr">
        <is>
          <t>These become hard filters. Anything outside them is skipped automatically.</t>
        </is>
      </c>
    </row>
    <row r="3"/>
    <row r="4" ht="21.75" customHeight="1" s="28">
      <c r="A4" s="31" t="inlineStr">
        <is>
          <t>Location</t>
        </is>
      </c>
    </row>
    <row r="5" ht="18" customHeight="1" s="28">
      <c r="A5" s="43" t="inlineStr">
        <is>
          <t>Work mode</t>
        </is>
      </c>
      <c r="B5" s="44" t="n"/>
    </row>
    <row r="6" ht="18" customHeight="1" s="28">
      <c r="A6" s="43" t="inlineStr">
        <is>
          <t>Open to relocation?</t>
        </is>
      </c>
      <c r="B6" s="44" t="n"/>
    </row>
    <row r="7" ht="18" customHeight="1" s="28">
      <c r="A7" s="43" t="inlineStr">
        <is>
          <t>Preferred cities / metros (comma separated)</t>
        </is>
      </c>
      <c r="B7" s="44" t="n"/>
      <c r="C7" s="45" t="inlineStr">
        <is>
          <t>Used for on-site and hybrid roles.</t>
        </is>
      </c>
    </row>
    <row r="8" ht="18" customHeight="1" s="28">
      <c r="A8" s="43" t="inlineStr">
        <is>
          <t>US only?</t>
        </is>
      </c>
      <c r="B8" s="44" t="n"/>
    </row>
    <row r="9"/>
    <row r="10" ht="21.75" customHeight="1" s="28">
      <c r="A10" s="31" t="inlineStr">
        <is>
          <t>Employment type</t>
        </is>
      </c>
    </row>
    <row r="11" ht="18" customHeight="1" s="28">
      <c r="A11" s="43" t="inlineStr">
        <is>
          <t>Employment types you will accept</t>
        </is>
      </c>
      <c r="B11" s="44" t="n"/>
    </row>
    <row r="12" ht="30" customHeight="1" s="28">
      <c r="A12" s="43" t="inlineStr">
        <is>
          <t>Apply through staffing agencies / consultancies?</t>
        </is>
      </c>
      <c r="B12" s="44" t="n"/>
    </row>
    <row r="13" ht="18" customHeight="1" s="28">
      <c r="A13" s="43" t="inlineStr">
        <is>
          <t>Maximum travel</t>
        </is>
      </c>
      <c r="B13" s="44" t="n"/>
    </row>
    <row r="14"/>
    <row r="15" ht="21.75" customHeight="1" s="28">
      <c r="A15" s="31" t="inlineStr">
        <is>
          <t>Compensation</t>
        </is>
      </c>
    </row>
    <row r="16" ht="30" customHeight="1" s="28">
      <c r="A16" s="43" t="inlineStr">
        <is>
          <t>Minimum base salary (USD, or leave blank for none)</t>
        </is>
      </c>
      <c r="B16" s="44" t="n"/>
      <c r="C16" s="45" t="inlineStr">
        <is>
          <t>Leave blank to let us apply without a floor and evaluate offers later.</t>
        </is>
      </c>
    </row>
    <row r="17" ht="18" customHeight="1" s="28">
      <c r="A17" s="43" t="inlineStr">
        <is>
          <t>When a form asks for desired salary</t>
        </is>
      </c>
      <c r="B17" s="44" t="n"/>
    </row>
    <row r="18" ht="30" customHeight="1" s="28">
      <c r="A18" s="43" t="inlineStr">
        <is>
          <t>If a form requires a number, what should we enter?</t>
        </is>
      </c>
      <c r="B18" s="44" t="n"/>
      <c r="C18" s="45" t="inlineStr">
        <is>
          <t>Many portals reject blanks; 0 or your minimum.</t>
        </is>
      </c>
    </row>
    <row r="19"/>
    <row r="20" ht="21.75" customHeight="1" s="28">
      <c r="A20" s="31" t="inlineStr">
        <is>
          <t>Timing</t>
        </is>
      </c>
    </row>
    <row r="21" ht="18" customHeight="1" s="28">
      <c r="A21" s="43" t="inlineStr">
        <is>
          <t>Earliest start date (YYYY-MM-DD)</t>
        </is>
      </c>
      <c r="B21" s="44" t="n"/>
    </row>
    <row r="22" ht="30" customHeight="1" s="28">
      <c r="A22" s="43" t="inlineStr">
        <is>
          <t>Interview availability windows (your timezone)</t>
        </is>
      </c>
      <c r="B22" s="44" t="n"/>
      <c r="C22" s="45" t="inlineStr">
        <is>
          <t>We share windows, never a single binding time, unless you approve it.</t>
        </is>
      </c>
    </row>
  </sheetData>
  <mergeCells count="6">
    <mergeCell ref="A10:C10"/>
    <mergeCell ref="A1:C1"/>
    <mergeCell ref="A15:C15"/>
    <mergeCell ref="A4:C4"/>
    <mergeCell ref="A20:C20"/>
    <mergeCell ref="A2:C2"/>
  </mergeCells>
  <conditionalFormatting sqref="B5">
    <cfRule type="expression" rank="0" priority="2" equalAverage="0" aboveAverage="0" dxfId="1" text="" percent="0" bottom="0">
      <formula>ISBLANK(B5)</formula>
    </cfRule>
  </conditionalFormatting>
  <conditionalFormatting sqref="B6">
    <cfRule type="expression" rank="0" priority="3" equalAverage="0" aboveAverage="0" dxfId="1" text="" percent="0" bottom="0">
      <formula>ISBLANK(B6)</formula>
    </cfRule>
  </conditionalFormatting>
  <conditionalFormatting sqref="B7">
    <cfRule type="expression" rank="0" priority="4" equalAverage="0" aboveAverage="0" dxfId="1" text="" percent="0" bottom="0">
      <formula>ISBLANK(B7)</formula>
    </cfRule>
  </conditionalFormatting>
  <conditionalFormatting sqref="B8">
    <cfRule type="expression" rank="0" priority="5" equalAverage="0" aboveAverage="0" dxfId="1" text="" percent="0" bottom="0">
      <formula>ISBLANK(B8)</formula>
    </cfRule>
  </conditionalFormatting>
  <conditionalFormatting sqref="B11">
    <cfRule type="expression" rank="0" priority="6" equalAverage="0" aboveAverage="0" dxfId="1" text="" percent="0" bottom="0">
      <formula>ISBLANK(B11)</formula>
    </cfRule>
  </conditionalFormatting>
  <conditionalFormatting sqref="B12">
    <cfRule type="expression" rank="0" priority="7" equalAverage="0" aboveAverage="0" dxfId="1" text="" percent="0" bottom="0">
      <formula>ISBLANK(B12)</formula>
    </cfRule>
  </conditionalFormatting>
  <conditionalFormatting sqref="B13">
    <cfRule type="expression" rank="0" priority="8" equalAverage="0" aboveAverage="0" dxfId="1" text="" percent="0" bottom="0">
      <formula>ISBLANK(B13)</formula>
    </cfRule>
  </conditionalFormatting>
  <conditionalFormatting sqref="B17">
    <cfRule type="expression" rank="0" priority="9" equalAverage="0" aboveAverage="0" dxfId="1" text="" percent="0" bottom="0">
      <formula>ISBLANK(B17)</formula>
    </cfRule>
  </conditionalFormatting>
  <conditionalFormatting sqref="B21">
    <cfRule type="expression" rank="0" priority="10" equalAverage="0" aboveAverage="0" dxfId="1" text="" percent="0" bottom="0">
      <formula>ISBLANK(B21)</formula>
    </cfRule>
  </conditionalFormatting>
  <conditionalFormatting sqref="B22">
    <cfRule type="expression" rank="0" priority="11" equalAverage="0" aboveAverage="0" dxfId="1" text="" percent="0" bottom="0">
      <formula>ISBLANK(B22)</formula>
    </cfRule>
  </conditionalFormatting>
  <dataValidations count="7">
    <dataValidation sqref="B5" showDropDown="0" showInputMessage="0" showErrorMessage="1" allowBlank="0" errorTitle="Pick from the list" error="Use the dropdown arrow to choose one of the options." type="list" errorStyle="stop" operator="between">
      <formula1>Lists!$I$2:$I$6</formula1>
      <formula2>0</formula2>
    </dataValidation>
    <dataValidation sqref="B6" showDropDown="0" showInputMessage="0" showErrorMessage="1" allowBlank="0" errorTitle="Pick from the list" error="Use the dropdown arrow to choose one of the options." type="list" errorStyle="stop" operator="between">
      <formula1>Lists!$H$2:$H$4</formula1>
      <formula2>0</formula2>
    </dataValidation>
    <dataValidation sqref="B8" showDropDown="0" showInputMessage="0" showErrorMessage="1" allowBlank="0" errorTitle="Pick from the list" error="Use the dropdown arrow to choose one of the options." type="list" errorStyle="stop" operator="between">
      <formula1>Lists!$A$2:$A$3</formula1>
      <formula2>0</formula2>
    </dataValidation>
    <dataValidation sqref="B11" showDropDown="0" showInputMessage="0" showErrorMessage="1" allowBlank="0" errorTitle="Pick from the list" error="Use the dropdown arrow to choose one of the options." type="list" errorStyle="stop" operator="between">
      <formula1>Lists!$J$2:$J$5</formula1>
      <formula2>0</formula2>
    </dataValidation>
    <dataValidation sqref="B12" showDropDown="0" showInputMessage="0" showErrorMessage="1" allowBlank="0" errorTitle="Pick from the list" error="Use the dropdown arrow to choose one of the options." type="list" errorStyle="stop" operator="between">
      <formula1>Lists!$A$2:$A$3</formula1>
      <formula2>0</formula2>
    </dataValidation>
    <dataValidation sqref="B13" showDropDown="0" showInputMessage="0" showErrorMessage="1" allowBlank="0" errorTitle="Pick from the list" error="Use the dropdown arrow to choose one of the options." type="list" errorStyle="stop" operator="between">
      <formula1>Lists!$K$2:$K$6</formula1>
      <formula2>0</formula2>
    </dataValidation>
    <dataValidation sqref="B17" showDropDown="0" showInputMessage="0" showErrorMessage="1" allowBlank="0" errorTitle="Pick from the list" error="Use the dropdown arrow to choose one of the options." type="list" errorStyle="stop" operator="between">
      <formula1>Lists!$R$2:$R$5</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D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7" min="1" max="1"/>
    <col width="60" customWidth="1" style="27" min="2" max="2"/>
    <col width="34" customWidth="1" style="27" min="3" max="3"/>
    <col width="40" customWidth="1" style="27" min="4" max="4"/>
  </cols>
  <sheetData>
    <row r="1" ht="30" customHeight="1" s="28">
      <c r="A1" s="29" t="inlineStr">
        <is>
          <t>Standard screening answers</t>
        </is>
      </c>
    </row>
    <row r="2" ht="31.5" customHeight="1" s="28">
      <c r="A2" s="30" t="inlineStr">
        <is>
          <t>Employers ask these on almost every application. Answer once; we apply the same answer every time. Anything not here is held for you; we never guess.</t>
        </is>
      </c>
    </row>
    <row r="4" ht="15" customHeight="1" s="28">
      <c r="A4" s="46" t="inlineStr">
        <is>
          <t>#</t>
        </is>
      </c>
      <c r="B4" s="46" t="inlineStr">
        <is>
          <t>Question as employers phrase it</t>
        </is>
      </c>
      <c r="C4" s="46" t="inlineStr">
        <is>
          <t>Your standard answer</t>
        </is>
      </c>
      <c r="D4" s="46" t="inlineStr">
        <is>
          <t>Notes / exceptions</t>
        </is>
      </c>
    </row>
    <row r="5" ht="15" customHeight="1" s="28">
      <c r="A5" s="48" t="n">
        <v>1</v>
      </c>
      <c r="B5" s="49" t="inlineStr">
        <is>
          <t>Are you legally authorized to work in the United States?</t>
        </is>
      </c>
      <c r="C5" s="44" t="inlineStr">
        <is>
          <t>Yes</t>
        </is>
      </c>
      <c r="D5" s="44" t="n"/>
    </row>
    <row r="6" ht="15" customHeight="1" s="28">
      <c r="A6" s="48" t="n">
        <v>2</v>
      </c>
      <c r="B6" s="49" t="inlineStr">
        <is>
          <t>Will you now or in the future require sponsorship?</t>
        </is>
      </c>
      <c r="C6" s="44" t="n"/>
      <c r="D6" s="44" t="n"/>
    </row>
    <row r="7" ht="15" customHeight="1" s="28">
      <c r="A7" s="48" t="n">
        <v>3</v>
      </c>
      <c r="B7" s="49" t="inlineStr">
        <is>
          <t>Are you willing to relocate?</t>
        </is>
      </c>
      <c r="C7" s="44" t="n"/>
      <c r="D7" s="44" t="n"/>
    </row>
    <row r="8" ht="15" customHeight="1" s="28">
      <c r="A8" s="48" t="n">
        <v>4</v>
      </c>
      <c r="B8" s="49" t="inlineStr">
        <is>
          <t>Are you willing to work on-site if required?</t>
        </is>
      </c>
      <c r="C8" s="44" t="n"/>
      <c r="D8" s="44" t="n"/>
    </row>
    <row r="9" ht="15" customHeight="1" s="28">
      <c r="A9" s="48" t="n">
        <v>5</v>
      </c>
      <c r="B9" s="49" t="inlineStr">
        <is>
          <t>Percentage of travel you will accept</t>
        </is>
      </c>
      <c r="C9" s="44" t="n"/>
      <c r="D9" s="44" t="n"/>
    </row>
    <row r="10" ht="15" customHeight="1" s="28">
      <c r="A10" s="48" t="n">
        <v>6</v>
      </c>
      <c r="B10" s="49" t="inlineStr">
        <is>
          <t>Willing to undergo a background check?</t>
        </is>
      </c>
      <c r="C10" s="44" t="n"/>
      <c r="D10" s="44" t="n"/>
    </row>
    <row r="11" ht="15" customHeight="1" s="28">
      <c r="A11" s="48" t="n">
        <v>7</v>
      </c>
      <c r="B11" s="49" t="inlineStr">
        <is>
          <t>Willing to take a drug test?</t>
        </is>
      </c>
      <c r="C11" s="44" t="n"/>
      <c r="D11" s="44" t="n"/>
    </row>
    <row r="12" ht="15" customHeight="1" s="28">
      <c r="A12" s="48" t="n">
        <v>8</v>
      </c>
      <c r="B12" s="49" t="inlineStr">
        <is>
          <t>Highest level of education completed</t>
        </is>
      </c>
      <c r="C12" s="44" t="n"/>
      <c r="D12" s="44" t="n"/>
    </row>
    <row r="13" ht="15" customHeight="1" s="28">
      <c r="A13" s="48" t="n">
        <v>9</v>
      </c>
      <c r="B13" s="49" t="inlineStr">
        <is>
          <t>Enter graduation years on forms?</t>
        </is>
      </c>
      <c r="C13" s="44" t="n"/>
      <c r="D13" s="44" t="n"/>
    </row>
    <row r="14" ht="15" customHeight="1" s="28">
      <c r="A14" s="48" t="n">
        <v>10</v>
      </c>
      <c r="B14" s="49" t="inlineStr">
        <is>
          <t>Subject to a non-compete or restrictive covenant?</t>
        </is>
      </c>
      <c r="C14" s="44" t="n"/>
      <c r="D14" s="44" t="n"/>
    </row>
    <row r="15" ht="15" customHeight="1" s="28">
      <c r="A15" s="48" t="n">
        <v>11</v>
      </c>
      <c r="B15" s="49" t="inlineStr">
        <is>
          <t>Do you hold a valid driver's license?</t>
        </is>
      </c>
      <c r="C15" s="44" t="n"/>
      <c r="D15" s="44" t="n"/>
    </row>
    <row r="16" ht="15" customHeight="1" s="28">
      <c r="A16" s="48" t="n">
        <v>12</v>
      </c>
      <c r="B16" s="49" t="inlineStr">
        <is>
          <t>Are you 18 or older?</t>
        </is>
      </c>
      <c r="C16" s="44" t="n"/>
      <c r="D16" s="44" t="n"/>
    </row>
    <row r="17" ht="15" customHeight="1" s="28">
      <c r="A17" s="48" t="n">
        <v>13</v>
      </c>
      <c r="B17" s="49" t="inlineStr">
        <is>
          <t>Have you previously worked for this company? (default)</t>
        </is>
      </c>
      <c r="C17" s="44" t="n"/>
      <c r="D17" s="44" t="n"/>
    </row>
    <row r="18" ht="15" customHeight="1" s="28">
      <c r="A18" s="48" t="n">
        <v>14</v>
      </c>
      <c r="B18" s="49" t="inlineStr">
        <is>
          <t>Do you have relatives at this company? (default)</t>
        </is>
      </c>
      <c r="C18" s="44" t="n"/>
      <c r="D18" s="44" t="n"/>
    </row>
    <row r="19" ht="15" customHeight="1" s="28">
      <c r="A19" s="48" t="n">
        <v>15</v>
      </c>
      <c r="B19" s="49" t="inlineStr">
        <is>
          <t>Veteran status</t>
        </is>
      </c>
      <c r="C19" s="44" t="n"/>
      <c r="D19" s="44" t="n"/>
    </row>
    <row r="20" ht="15" customHeight="1" s="28">
      <c r="A20" s="48" t="n">
        <v>16</v>
      </c>
      <c r="B20" s="49" t="inlineStr">
        <is>
          <t>Disability status</t>
        </is>
      </c>
      <c r="C20" s="44" t="n"/>
      <c r="D20" s="44" t="n"/>
    </row>
    <row r="21" ht="15" customHeight="1" s="28">
      <c r="A21" s="48" t="n">
        <v>17</v>
      </c>
      <c r="B21" s="49" t="inlineStr">
        <is>
          <t>Gender / race / ethnicity questions</t>
        </is>
      </c>
      <c r="C21" s="44" t="n"/>
      <c r="D21" s="44" t="n"/>
    </row>
    <row r="22" ht="15" customHeight="1" s="28">
      <c r="A22" s="48" t="n">
        <v>18</v>
      </c>
      <c r="B22" s="49" t="inlineStr">
        <is>
          <t>Felony conviction question (if asked)</t>
        </is>
      </c>
      <c r="C22" s="44" t="n"/>
      <c r="D22" s="44" t="n"/>
    </row>
    <row r="23" ht="15" customHeight="1" s="28">
      <c r="A23" s="48" t="n">
        <v>19</v>
      </c>
      <c r="B23" s="49" t="inlineStr">
        <is>
          <t>How did you hear about this job? (default)</t>
        </is>
      </c>
      <c r="C23" s="44" t="n"/>
      <c r="D23" s="44" t="n"/>
    </row>
    <row r="24" ht="15" customHeight="1" s="28">
      <c r="A24" s="48" t="n">
        <v>20</v>
      </c>
      <c r="B24" s="49" t="inlineStr">
        <is>
          <t>Are you currently employed?</t>
        </is>
      </c>
      <c r="C24" s="44" t="n"/>
      <c r="D24" s="44" t="n"/>
    </row>
    <row r="25" ht="15" customHeight="1" s="28">
      <c r="A25" s="48" t="n">
        <v>21</v>
      </c>
      <c r="B25" s="49" t="inlineStr">
        <is>
          <t>May we contact your current employer?</t>
        </is>
      </c>
      <c r="C25" s="44" t="n"/>
      <c r="D25" s="44" t="n"/>
    </row>
    <row r="26" ht="15" customHeight="1" s="28">
      <c r="A26" s="48" t="n">
        <v>22</v>
      </c>
      <c r="B26" s="49" t="inlineStr">
        <is>
          <t>Preferred pronouns (if asked)</t>
        </is>
      </c>
      <c r="C26" s="44" t="n"/>
      <c r="D26" s="44" t="n"/>
    </row>
    <row r="27" ht="15" customHeight="1" s="28">
      <c r="A27" s="48" t="n">
        <v>23</v>
      </c>
      <c r="B27" s="49" t="inlineStr">
        <is>
          <t>Security clearance held</t>
        </is>
      </c>
      <c r="C27" s="44" t="n"/>
      <c r="D27" s="44" t="n"/>
    </row>
    <row r="28" ht="15" customHeight="1" s="28">
      <c r="A28" s="48" t="n">
        <v>24</v>
      </c>
      <c r="B28" s="49" t="inlineStr">
        <is>
          <t>Languages spoken</t>
        </is>
      </c>
      <c r="C28" s="44" t="n"/>
      <c r="D28" s="44" t="n"/>
    </row>
    <row r="29"/>
    <row r="30" ht="21.75" customHeight="1" s="28">
      <c r="A30" s="31" t="inlineStr">
        <is>
          <t>Free-text questions</t>
        </is>
      </c>
    </row>
    <row r="31" ht="15" customHeight="1" s="28">
      <c r="B31" s="50" t="inlineStr">
        <is>
          <t>Essay-type questions ("why us", "describe a project")</t>
        </is>
      </c>
      <c r="C31" s="51" t="n"/>
      <c r="D31" s="52" t="n"/>
    </row>
  </sheetData>
  <mergeCells count="3">
    <mergeCell ref="A1:D1"/>
    <mergeCell ref="A2:D2"/>
    <mergeCell ref="A30:D30"/>
  </mergeCells>
  <conditionalFormatting sqref="C5">
    <cfRule type="expression" rank="0" priority="2" equalAverage="0" aboveAverage="0" dxfId="1" text="" percent="0" bottom="0">
      <formula>ISBLANK(C5)</formula>
    </cfRule>
  </conditionalFormatting>
  <conditionalFormatting sqref="C6">
    <cfRule type="expression" rank="0" priority="3" equalAverage="0" aboveAverage="0" dxfId="1" text="" percent="0" bottom="0">
      <formula>ISBLANK(C6)</formula>
    </cfRule>
  </conditionalFormatting>
  <conditionalFormatting sqref="C7">
    <cfRule type="expression" rank="0" priority="4" equalAverage="0" aboveAverage="0" dxfId="1" text="" percent="0" bottom="0">
      <formula>ISBLANK(C7)</formula>
    </cfRule>
  </conditionalFormatting>
  <conditionalFormatting sqref="C8">
    <cfRule type="expression" rank="0" priority="5" equalAverage="0" aboveAverage="0" dxfId="1" text="" percent="0" bottom="0">
      <formula>ISBLANK(C8)</formula>
    </cfRule>
  </conditionalFormatting>
  <conditionalFormatting sqref="C9">
    <cfRule type="expression" rank="0" priority="6" equalAverage="0" aboveAverage="0" dxfId="1" text="" percent="0" bottom="0">
      <formula>ISBLANK(C9)</formula>
    </cfRule>
  </conditionalFormatting>
  <conditionalFormatting sqref="C10">
    <cfRule type="expression" rank="0" priority="7" equalAverage="0" aboveAverage="0" dxfId="1" text="" percent="0" bottom="0">
      <formula>ISBLANK(C10)</formula>
    </cfRule>
  </conditionalFormatting>
  <conditionalFormatting sqref="C11">
    <cfRule type="expression" rank="0" priority="8" equalAverage="0" aboveAverage="0" dxfId="1" text="" percent="0" bottom="0">
      <formula>ISBLANK(C11)</formula>
    </cfRule>
  </conditionalFormatting>
  <conditionalFormatting sqref="C12">
    <cfRule type="expression" rank="0" priority="9" equalAverage="0" aboveAverage="0" dxfId="1" text="" percent="0" bottom="0">
      <formula>ISBLANK(C12)</formula>
    </cfRule>
  </conditionalFormatting>
  <conditionalFormatting sqref="C13">
    <cfRule type="expression" rank="0" priority="10" equalAverage="0" aboveAverage="0" dxfId="1" text="" percent="0" bottom="0">
      <formula>ISBLANK(C13)</formula>
    </cfRule>
  </conditionalFormatting>
  <conditionalFormatting sqref="C14">
    <cfRule type="expression" rank="0" priority="11" equalAverage="0" aboveAverage="0" dxfId="1" text="" percent="0" bottom="0">
      <formula>ISBLANK(C14)</formula>
    </cfRule>
  </conditionalFormatting>
  <conditionalFormatting sqref="C15">
    <cfRule type="expression" rank="0" priority="12" equalAverage="0" aboveAverage="0" dxfId="1" text="" percent="0" bottom="0">
      <formula>ISBLANK(C15)</formula>
    </cfRule>
  </conditionalFormatting>
  <conditionalFormatting sqref="C16">
    <cfRule type="expression" rank="0" priority="13" equalAverage="0" aboveAverage="0" dxfId="1" text="" percent="0" bottom="0">
      <formula>ISBLANK(C16)</formula>
    </cfRule>
  </conditionalFormatting>
  <conditionalFormatting sqref="C17">
    <cfRule type="expression" rank="0" priority="14" equalAverage="0" aboveAverage="0" dxfId="1" text="" percent="0" bottom="0">
      <formula>ISBLANK(C17)</formula>
    </cfRule>
  </conditionalFormatting>
  <conditionalFormatting sqref="C18">
    <cfRule type="expression" rank="0" priority="15" equalAverage="0" aboveAverage="0" dxfId="1" text="" percent="0" bottom="0">
      <formula>ISBLANK(C18)</formula>
    </cfRule>
  </conditionalFormatting>
  <conditionalFormatting sqref="C19">
    <cfRule type="expression" rank="0" priority="16" equalAverage="0" aboveAverage="0" dxfId="1" text="" percent="0" bottom="0">
      <formula>ISBLANK(C19)</formula>
    </cfRule>
  </conditionalFormatting>
  <conditionalFormatting sqref="C20">
    <cfRule type="expression" rank="0" priority="17" equalAverage="0" aboveAverage="0" dxfId="1" text="" percent="0" bottom="0">
      <formula>ISBLANK(C20)</formula>
    </cfRule>
  </conditionalFormatting>
  <conditionalFormatting sqref="C21">
    <cfRule type="expression" rank="0" priority="18" equalAverage="0" aboveAverage="0" dxfId="1" text="" percent="0" bottom="0">
      <formula>ISBLANK(C21)</formula>
    </cfRule>
  </conditionalFormatting>
  <conditionalFormatting sqref="C22">
    <cfRule type="expression" rank="0" priority="19" equalAverage="0" aboveAverage="0" dxfId="1" text="" percent="0" bottom="0">
      <formula>ISBLANK(C22)</formula>
    </cfRule>
  </conditionalFormatting>
  <conditionalFormatting sqref="C23">
    <cfRule type="expression" rank="0" priority="20" equalAverage="0" aboveAverage="0" dxfId="1" text="" percent="0" bottom="0">
      <formula>ISBLANK(C23)</formula>
    </cfRule>
  </conditionalFormatting>
  <conditionalFormatting sqref="C24">
    <cfRule type="expression" rank="0" priority="21" equalAverage="0" aboveAverage="0" dxfId="1" text="" percent="0" bottom="0">
      <formula>ISBLANK(C24)</formula>
    </cfRule>
  </conditionalFormatting>
  <conditionalFormatting sqref="C25">
    <cfRule type="expression" rank="0" priority="22" equalAverage="0" aboveAverage="0" dxfId="1" text="" percent="0" bottom="0">
      <formula>ISBLANK(C25)</formula>
    </cfRule>
  </conditionalFormatting>
  <conditionalFormatting sqref="C26">
    <cfRule type="expression" rank="0" priority="23" equalAverage="0" aboveAverage="0" dxfId="1" text="" percent="0" bottom="0">
      <formula>ISBLANK(C26)</formula>
    </cfRule>
  </conditionalFormatting>
  <conditionalFormatting sqref="C27">
    <cfRule type="expression" rank="0" priority="24" equalAverage="0" aboveAverage="0" dxfId="1" text="" percent="0" bottom="0">
      <formula>ISBLANK(C27)</formula>
    </cfRule>
  </conditionalFormatting>
  <conditionalFormatting sqref="C28">
    <cfRule type="expression" rank="0" priority="25" equalAverage="0" aboveAverage="0" dxfId="1" text="" percent="0" bottom="0">
      <formula>ISBLANK(C28)</formula>
    </cfRule>
  </conditionalFormatting>
  <conditionalFormatting sqref="C31">
    <cfRule type="expression" rank="0" priority="26" equalAverage="0" aboveAverage="0" dxfId="1" text="" percent="0" bottom="0">
      <formula>ISBLANK(C31)</formula>
    </cfRule>
  </conditionalFormatting>
  <dataValidations count="21">
    <dataValidation sqref="C5" showDropDown="0" showInputMessage="0" showErrorMessage="1" allowBlank="0" errorTitle="Pick from the list" error="Use the dropdown arrow to choose one of the options." type="list" errorStyle="stop" operator="between">
      <formula1>Lists!$A$2:$A$3</formula1>
      <formula2>0</formula2>
    </dataValidation>
    <dataValidation sqref="C6" showDropDown="0" showInputMessage="0" showErrorMessage="1" allowBlank="0" errorTitle="Pick from the list" error="Use the dropdown arrow to choose one of the options." type="list" errorStyle="stop" operator="between">
      <formula1>Lists!$A$2:$A$3</formula1>
      <formula2>0</formula2>
    </dataValidation>
    <dataValidation sqref="C7" showDropDown="0" showInputMessage="0" showErrorMessage="1" allowBlank="0" errorTitle="Pick from the list" error="Use the dropdown arrow to choose one of the options." type="list" errorStyle="stop" operator="between">
      <formula1>Lists!$A$2:$A$3</formula1>
      <formula2>0</formula2>
    </dataValidation>
    <dataValidation sqref="C8" showDropDown="0" showInputMessage="0" showErrorMessage="1" allowBlank="0" errorTitle="Pick from the list" error="Use the dropdown arrow to choose one of the options." type="list" errorStyle="stop" operator="between">
      <formula1>Lists!$A$2:$A$3</formula1>
      <formula2>0</formula2>
    </dataValidation>
    <dataValidation sqref="C9" showDropDown="0" showInputMessage="0" showErrorMessage="1" allowBlank="0" errorTitle="Pick from the list" error="Use the dropdown arrow to choose one of the options." type="list" errorStyle="stop" operator="between">
      <formula1>Lists!$K$2:$K$6</formula1>
      <formula2>0</formula2>
    </dataValidation>
    <dataValidation sqref="C10" showDropDown="0" showInputMessage="0" showErrorMessage="1" allowBlank="0" errorTitle="Pick from the list" error="Use the dropdown arrow to choose one of the options." type="list" errorStyle="stop" operator="between">
      <formula1>Lists!$A$2:$A$3</formula1>
      <formula2>0</formula2>
    </dataValidation>
    <dataValidation sqref="C11" showDropDown="0" showInputMessage="0" showErrorMessage="1" allowBlank="0" errorTitle="Pick from the list" error="Use the dropdown arrow to choose one of the options." type="list" errorStyle="stop" operator="between">
      <formula1>Lists!$A$2:$A$3</formula1>
      <formula2>0</formula2>
    </dataValidation>
    <dataValidation sqref="C12" showDropDown="0" showInputMessage="0" showErrorMessage="1" allowBlank="0" errorTitle="Pick from the list" error="Use the dropdown arrow to choose one of the options." type="list" errorStyle="stop" operator="between">
      <formula1>Lists!$Q$2:$Q$7</formula1>
      <formula2>0</formula2>
    </dataValidation>
    <dataValidation sqref="C13" showDropDown="0" showInputMessage="0" showErrorMessage="1" allowBlank="0" errorTitle="Pick from the list" error="Use the dropdown arrow to choose one of the options." type="list" errorStyle="stop" operator="between">
      <formula1>Lists!$B$2:$B$4</formula1>
      <formula2>0</formula2>
    </dataValidation>
    <dataValidation sqref="C14" showDropDown="0" showInputMessage="0" showErrorMessage="1" allowBlank="0" errorTitle="Pick from the list" error="Use the dropdown arrow to choose one of the options." type="list" errorStyle="stop" operator="between">
      <formula1>Lists!$A$2:$A$3</formula1>
      <formula2>0</formula2>
    </dataValidation>
    <dataValidation sqref="C15" showDropDown="0" showInputMessage="0" showErrorMessage="1" allowBlank="0" errorTitle="Pick from the list" error="Use the dropdown arrow to choose one of the options." type="list" errorStyle="stop" operator="between">
      <formula1>Lists!$A$2:$A$3</formula1>
      <formula2>0</formula2>
    </dataValidation>
    <dataValidation sqref="C16" showDropDown="0" showInputMessage="0" showErrorMessage="1" allowBlank="0" errorTitle="Pick from the list" error="Use the dropdown arrow to choose one of the options." type="list" errorStyle="stop" operator="between">
      <formula1>Lists!$A$2:$A$3</formula1>
      <formula2>0</formula2>
    </dataValidation>
    <dataValidation sqref="C17" showDropDown="0" showInputMessage="0" showErrorMessage="1" allowBlank="0" errorTitle="Pick from the list" error="Use the dropdown arrow to choose one of the options." type="list" errorStyle="stop" operator="between">
      <formula1>Lists!$A$2:$A$3</formula1>
      <formula2>0</formula2>
    </dataValidation>
    <dataValidation sqref="C18" showDropDown="0" showInputMessage="0" showErrorMessage="1" allowBlank="0" errorTitle="Pick from the list" error="Use the dropdown arrow to choose one of the options." type="list" errorStyle="stop" operator="between">
      <formula1>Lists!$A$2:$A$3</formula1>
      <formula2>0</formula2>
    </dataValidation>
    <dataValidation sqref="C19" showDropDown="0" showInputMessage="0" showErrorMessage="1" allowBlank="0" errorTitle="Pick from the list" error="Use the dropdown arrow to choose one of the options." type="list" errorStyle="stop" operator="between">
      <formula1>Lists!$Z$2:$Z$4</formula1>
      <formula2>0</formula2>
    </dataValidation>
    <dataValidation sqref="C20" showDropDown="0" showInputMessage="0" showErrorMessage="1" allowBlank="0" errorTitle="Pick from the list" error="Use the dropdown arrow to choose one of the options." type="list" errorStyle="stop" operator="between">
      <formula1>Lists!$B$2:$B$4</formula1>
      <formula2>0</formula2>
    </dataValidation>
    <dataValidation sqref="C21" showDropDown="0" showInputMessage="0" showErrorMessage="1" allowBlank="0" errorTitle="Pick from the list" error="Use the dropdown arrow to choose one of the options." type="list" errorStyle="stop" operator="between">
      <formula1>Lists!$AA$2:$AA$3</formula1>
      <formula2>0</formula2>
    </dataValidation>
    <dataValidation sqref="C22" showDropDown="0" showInputMessage="0" showErrorMessage="1" allowBlank="0" errorTitle="Pick from the list" error="Use the dropdown arrow to choose one of the options." type="list" errorStyle="stop" operator="between">
      <formula1>Lists!$B$2:$B$4</formula1>
      <formula2>0</formula2>
    </dataValidation>
    <dataValidation sqref="C24" showDropDown="0" showInputMessage="0" showErrorMessage="1" allowBlank="0" errorTitle="Pick from the list" error="Use the dropdown arrow to choose one of the options." type="list" errorStyle="stop" operator="between">
      <formula1>Lists!$A$2:$A$3</formula1>
      <formula2>0</formula2>
    </dataValidation>
    <dataValidation sqref="C25" showDropDown="0" showInputMessage="0" showErrorMessage="1" allowBlank="0" errorTitle="Pick from the list" error="Use the dropdown arrow to choose one of the options." type="list" errorStyle="stop" operator="between">
      <formula1>Lists!$A$2:$A$3</formula1>
      <formula2>0</formula2>
    </dataValidation>
    <dataValidation sqref="C31" showDropDown="0" showInputMessage="0" showErrorMessage="1" allowBlank="0" errorTitle="Pick from the list" error="Use the dropdown arrow to choose one of the options." type="list" errorStyle="stop" operator="between">
      <formula1>Lists!$U$2:$U$4</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F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7" min="1" max="1"/>
    <col width="22" customWidth="1" style="27" min="2" max="2"/>
    <col width="34" customWidth="1" style="27" min="3" max="3"/>
    <col width="40" customWidth="1" style="27" min="4" max="4"/>
    <col width="14" customWidth="1" style="27" min="5" max="5"/>
    <col width="34" customWidth="1" style="27" min="6" max="6"/>
  </cols>
  <sheetData>
    <row r="1" ht="30" customHeight="1" s="28">
      <c r="A1" s="29" t="inlineStr">
        <is>
          <t>Accounts and connections</t>
        </is>
      </c>
    </row>
    <row r="2" ht="31.5" customHeight="1" s="28">
      <c r="A2" s="30" t="inlineStr">
        <is>
          <t>Identifiers only. NEVER write a password, one-time code or payment detail in this file. When we need to sign in, you approve it from your own Muse account.</t>
        </is>
      </c>
    </row>
    <row r="4" ht="21.75" customHeight="1" s="28">
      <c r="A4" s="31" t="inlineStr">
        <is>
          <t>Job portals</t>
        </is>
      </c>
    </row>
    <row r="5" ht="30" customHeight="1" s="28">
      <c r="A5" s="46" t="inlineStr">
        <is>
          <t>Platform</t>
        </is>
      </c>
      <c r="B5" s="46" t="inlineStr">
        <is>
          <t>Status</t>
        </is>
      </c>
      <c r="C5" s="46" t="inlineStr">
        <is>
          <t>Email / username on the account</t>
        </is>
      </c>
      <c r="D5" s="46" t="inlineStr">
        <is>
          <t>Profile URL</t>
        </is>
      </c>
      <c r="E5" s="46" t="inlineStr">
        <is>
          <t>2FA on?</t>
        </is>
      </c>
      <c r="F5" s="46" t="inlineStr">
        <is>
          <t>Notes</t>
        </is>
      </c>
    </row>
    <row r="6" ht="15" customHeight="1" s="28">
      <c r="A6" s="44" t="inlineStr">
        <is>
          <t>LinkedIn</t>
        </is>
      </c>
      <c r="B6" s="44" t="n"/>
      <c r="C6" s="44" t="n"/>
      <c r="D6" s="44" t="n"/>
      <c r="E6" s="44" t="n"/>
      <c r="F6" s="44" t="n"/>
    </row>
    <row r="7" ht="15" customHeight="1" s="28">
      <c r="A7" s="44" t="inlineStr">
        <is>
          <t>Indeed</t>
        </is>
      </c>
      <c r="B7" s="44" t="n"/>
      <c r="C7" s="44" t="n"/>
      <c r="D7" s="44" t="n"/>
      <c r="E7" s="44" t="n"/>
      <c r="F7" s="44" t="n"/>
    </row>
    <row r="8" ht="15" customHeight="1" s="28">
      <c r="A8" s="44" t="inlineStr">
        <is>
          <t>Dice</t>
        </is>
      </c>
      <c r="B8" s="44" t="n"/>
      <c r="C8" s="44" t="n"/>
      <c r="D8" s="44" t="n"/>
      <c r="E8" s="44" t="n"/>
      <c r="F8" s="44" t="n"/>
    </row>
    <row r="9" ht="15" customHeight="1" s="28">
      <c r="A9" s="44" t="inlineStr">
        <is>
          <t>Glassdoor</t>
        </is>
      </c>
      <c r="B9" s="44" t="n"/>
      <c r="C9" s="44" t="n"/>
      <c r="D9" s="44" t="n"/>
      <c r="E9" s="44" t="n"/>
      <c r="F9" s="44" t="n"/>
    </row>
    <row r="10" ht="15" customHeight="1" s="28">
      <c r="A10" s="44" t="inlineStr">
        <is>
          <t>ZipRecruiter</t>
        </is>
      </c>
      <c r="B10" s="44" t="n"/>
      <c r="C10" s="44" t="n"/>
      <c r="D10" s="44" t="n"/>
      <c r="E10" s="44" t="n"/>
      <c r="F10" s="44" t="n"/>
    </row>
    <row r="11" ht="15" customHeight="1" s="28">
      <c r="A11" s="44" t="inlineStr">
        <is>
          <t>Wellfound</t>
        </is>
      </c>
      <c r="B11" s="44" t="n"/>
      <c r="C11" s="44" t="n"/>
      <c r="D11" s="44" t="n"/>
      <c r="E11" s="44" t="n"/>
      <c r="F11" s="44" t="n"/>
    </row>
    <row r="12" ht="15" customHeight="1" s="28">
      <c r="A12" s="44" t="n"/>
      <c r="B12" s="44" t="n"/>
      <c r="C12" s="44" t="n"/>
      <c r="D12" s="44" t="n"/>
      <c r="E12" s="44" t="n"/>
      <c r="F12" s="44" t="n"/>
    </row>
    <row r="13" ht="15" customHeight="1" s="28">
      <c r="A13" s="44" t="n"/>
      <c r="B13" s="44" t="n"/>
      <c r="C13" s="44" t="n"/>
      <c r="D13" s="44" t="n"/>
      <c r="E13" s="44" t="n"/>
      <c r="F13" s="44" t="n"/>
    </row>
    <row r="14"/>
    <row r="15" ht="21.75" customHeight="1" s="28">
      <c r="A15" s="31" t="inlineStr">
        <is>
          <t>Job-search mailbox (dedicated, recommended)</t>
        </is>
      </c>
    </row>
    <row r="16" ht="30" customHeight="1" s="28">
      <c r="A16" s="43" t="inlineStr">
        <is>
          <t>Mailbox we should scan and reply from</t>
        </is>
      </c>
      <c r="B16" s="44" t="n"/>
      <c r="C16" s="45" t="n"/>
    </row>
    <row r="17" ht="18" customHeight="1" s="28">
      <c r="A17" s="43" t="inlineStr">
        <is>
          <t>Address of that mailbox</t>
        </is>
      </c>
      <c r="B17" s="44" t="n"/>
    </row>
    <row r="18" ht="18" customHeight="1" s="28">
      <c r="A18" s="43" t="inlineStr">
        <is>
          <t>Is it already created?</t>
        </is>
      </c>
      <c r="B18" s="44" t="n"/>
    </row>
    <row r="19" ht="18" customHeight="1" s="28">
      <c r="A19" s="43" t="inlineStr">
        <is>
          <t>Personal mailbox we must NEVER scan</t>
        </is>
      </c>
      <c r="B19" s="44" t="n"/>
      <c r="C19" s="45" t="n"/>
    </row>
    <row r="20"/>
    <row r="21" ht="21.75" customHeight="1" s="28">
      <c r="A21" s="31" t="inlineStr">
        <is>
          <t>Muse account</t>
        </is>
      </c>
    </row>
    <row r="22" ht="18" customHeight="1" s="28">
      <c r="A22" s="43" t="inlineStr">
        <is>
          <t>Do you have a Muse account?</t>
        </is>
      </c>
      <c r="B22" s="44" t="n"/>
    </row>
    <row r="23" ht="18" customHeight="1" s="28">
      <c r="A23" s="43" t="inlineStr">
        <is>
          <t>Email to register / existing Muse email</t>
        </is>
      </c>
      <c r="B23" s="44" t="n"/>
    </row>
    <row r="24" ht="18" customHeight="1" s="28">
      <c r="A24" s="43" t="inlineStr">
        <is>
          <t>Phone for Muse verification codes</t>
        </is>
      </c>
      <c r="B24" s="44" t="n"/>
    </row>
    <row r="25"/>
    <row r="26" ht="21.75" customHeight="1" s="28">
      <c r="A26" s="31" t="inlineStr">
        <is>
          <t>Portal accounts we may create for you</t>
        </is>
      </c>
    </row>
    <row r="27" ht="30" customHeight="1" s="28">
      <c r="A27" s="43" t="inlineStr">
        <is>
          <t>May we create new accounts on company portals (Workday, Greenhouse, etc.) with your job-search email?</t>
        </is>
      </c>
      <c r="B27" s="44" t="n"/>
    </row>
    <row r="28" ht="30" customHeight="1" s="28">
      <c r="A28" s="43" t="inlineStr">
        <is>
          <t>Should new accounts use one standard password you set in your Muse vault?</t>
        </is>
      </c>
      <c r="B28" s="44" t="n"/>
      <c r="C28" s="45" t="n"/>
    </row>
  </sheetData>
  <mergeCells count="6">
    <mergeCell ref="A2:F2"/>
    <mergeCell ref="A1:F1"/>
    <mergeCell ref="A4:F4"/>
    <mergeCell ref="A26:F26"/>
    <mergeCell ref="A21:F21"/>
    <mergeCell ref="A15:F15"/>
  </mergeCells>
  <conditionalFormatting sqref="B6:B13">
    <cfRule type="expression" rank="0" priority="2" equalAverage="0" aboveAverage="0" dxfId="1" text="" percent="0" bottom="0">
      <formula>ISBLANK(B6)</formula>
    </cfRule>
  </conditionalFormatting>
  <conditionalFormatting sqref="B16">
    <cfRule type="expression" rank="0" priority="3" equalAverage="0" aboveAverage="0" dxfId="1" text="" percent="0" bottom="0">
      <formula>ISBLANK(B16)</formula>
    </cfRule>
  </conditionalFormatting>
  <conditionalFormatting sqref="B17">
    <cfRule type="expression" rank="0" priority="4" equalAverage="0" aboveAverage="0" dxfId="1" text="" percent="0" bottom="0">
      <formula>ISBLANK(B17)</formula>
    </cfRule>
  </conditionalFormatting>
  <conditionalFormatting sqref="B18">
    <cfRule type="expression" rank="0" priority="5" equalAverage="0" aboveAverage="0" dxfId="1" text="" percent="0" bottom="0">
      <formula>ISBLANK(B18)</formula>
    </cfRule>
  </conditionalFormatting>
  <conditionalFormatting sqref="B19">
    <cfRule type="expression" rank="0" priority="6" equalAverage="0" aboveAverage="0" dxfId="1" text="" percent="0" bottom="0">
      <formula>ISBLANK(B19)</formula>
    </cfRule>
  </conditionalFormatting>
  <conditionalFormatting sqref="B22">
    <cfRule type="expression" rank="0" priority="7" equalAverage="0" aboveAverage="0" dxfId="1" text="" percent="0" bottom="0">
      <formula>ISBLANK(B22)</formula>
    </cfRule>
  </conditionalFormatting>
  <conditionalFormatting sqref="B23">
    <cfRule type="expression" rank="0" priority="8" equalAverage="0" aboveAverage="0" dxfId="1" text="" percent="0" bottom="0">
      <formula>ISBLANK(B23)</formula>
    </cfRule>
  </conditionalFormatting>
  <conditionalFormatting sqref="B24">
    <cfRule type="expression" rank="0" priority="9" equalAverage="0" aboveAverage="0" dxfId="1" text="" percent="0" bottom="0">
      <formula>ISBLANK(B24)</formula>
    </cfRule>
  </conditionalFormatting>
  <conditionalFormatting sqref="B27">
    <cfRule type="expression" rank="0" priority="10" equalAverage="0" aboveAverage="0" dxfId="1" text="" percent="0" bottom="0">
      <formula>ISBLANK(B27)</formula>
    </cfRule>
  </conditionalFormatting>
  <conditionalFormatting sqref="B28">
    <cfRule type="expression" rank="0" priority="11" equalAverage="0" aboveAverage="0" dxfId="1" text="" percent="0" bottom="0">
      <formula>ISBLANK(B28)</formula>
    </cfRule>
  </conditionalFormatting>
  <dataValidations count="7">
    <dataValidation sqref="B6:B13" showDropDown="0" showInputMessage="0" showErrorMessage="1" allowBlank="0" errorTitle="Pick from the list" error="Use the dropdown arrow to choose one of the options." type="list" errorStyle="stop" operator="between">
      <formula1>Lists!$S$2:$S$4</formula1>
      <formula2>0</formula2>
    </dataValidation>
    <dataValidation sqref="E6:E13" showDropDown="0" showInputMessage="0" showErrorMessage="1" allowBlank="0" errorTitle="Pick from the list" error="Use the dropdown arrow to choose one of the options." type="list" errorStyle="stop" operator="between">
      <formula1>Lists!$A$2:$A$3</formula1>
      <formula2>0</formula2>
    </dataValidation>
    <dataValidation sqref="B16" showDropDown="0" showInputMessage="0" showErrorMessage="1" allowBlank="0" errorTitle="Pick from the list" error="Use the dropdown arrow to choose one of the options." type="list" errorStyle="stop" operator="between">
      <formula1>Lists!$T$2:$T$4</formula1>
      <formula2>0</formula2>
    </dataValidation>
    <dataValidation sqref="B18" showDropDown="0" showInputMessage="0" showErrorMessage="1" allowBlank="0" errorTitle="Pick from the list" error="Use the dropdown arrow to choose one of the options." type="list" errorStyle="stop" operator="between">
      <formula1>Lists!$A$2:$A$3</formula1>
      <formula2>0</formula2>
    </dataValidation>
    <dataValidation sqref="B22" showDropDown="0" showInputMessage="0" showErrorMessage="1" allowBlank="0" errorTitle="Pick from the list" error="Use the dropdown arrow to choose one of the options." type="list" errorStyle="stop" operator="between">
      <formula1>Lists!$AB$2:$AB$4</formula1>
      <formula2>0</formula2>
    </dataValidation>
    <dataValidation sqref="B27" showDropDown="0" showInputMessage="0" showErrorMessage="1" allowBlank="0" errorTitle="Pick from the list" error="Use the dropdown arrow to choose one of the options." type="list" errorStyle="stop" operator="between">
      <formula1>Lists!$A$2:$A$3</formula1>
      <formula2>0</formula2>
    </dataValidation>
    <dataValidation sqref="B28" showDropDown="0" showInputMessage="0" showErrorMessage="1" allowBlank="0" errorTitle="Pick from the list" error="Use the dropdown arrow to choose one of the options." type="list" errorStyle="stop" operator="between">
      <formula1>Lists!$A$2:$A$3</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C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7" min="1" max="1"/>
    <col width="36" customWidth="1" style="27" min="2" max="2"/>
    <col width="46" customWidth="1" style="27" min="3" max="3"/>
  </cols>
  <sheetData>
    <row r="1" ht="30" customHeight="1" s="28">
      <c r="A1" s="29" t="inlineStr">
        <is>
          <t>How the automation should behave</t>
        </is>
      </c>
    </row>
    <row r="2" ht="31.5" customHeight="1" s="28">
      <c r="A2" s="30" t="inlineStr">
        <is>
          <t>Pacing, what sends automatically, and what waits for you. You can change any of these later; we recompile the schedules.</t>
        </is>
      </c>
    </row>
    <row r="3"/>
    <row r="4" ht="21.75" customHeight="1" s="28">
      <c r="A4" s="31" t="inlineStr">
        <is>
          <t>Pacing</t>
        </is>
      </c>
    </row>
    <row r="5" ht="30" customHeight="1" s="28">
      <c r="A5" s="43" t="inlineStr">
        <is>
          <t>Maximum applications per day</t>
        </is>
      </c>
      <c r="B5" s="44" t="n"/>
      <c r="C5" s="45" t="inlineStr">
        <is>
          <t>Recommended 15-30. Quality gates do the filtering; this is pacing.</t>
        </is>
      </c>
    </row>
    <row r="6" ht="18" customHeight="1" s="28">
      <c r="A6" s="43" t="inlineStr">
        <is>
          <t>Maximum applications per run</t>
        </is>
      </c>
      <c r="B6" s="44" t="n"/>
      <c r="C6" s="45" t="inlineStr">
        <is>
          <t>Recommended 10.</t>
        </is>
      </c>
    </row>
    <row r="7" ht="18" customHeight="1" s="28">
      <c r="A7" s="43" t="inlineStr">
        <is>
          <t>Hours we may operate</t>
        </is>
      </c>
      <c r="B7" s="44" t="n"/>
    </row>
    <row r="8" ht="30" customHeight="1" s="28">
      <c r="A8" s="43" t="inlineStr">
        <is>
          <t>LinkedIn actions per hour (views, comments, messages)</t>
        </is>
      </c>
      <c r="B8" s="44" t="n"/>
      <c r="C8" s="45" t="inlineStr">
        <is>
          <t>Recommended 20 or fewer to protect the account.</t>
        </is>
      </c>
    </row>
    <row r="9"/>
    <row r="10" ht="21.75" customHeight="1" s="28">
      <c r="A10" s="31" t="inlineStr">
        <is>
          <t>What sends without asking you</t>
        </is>
      </c>
    </row>
    <row r="11" ht="30" customHeight="1" s="28">
      <c r="A11" s="43" t="inlineStr">
        <is>
          <t>Routine email replies to recruiters (thanks, interest, sponsorship line)</t>
        </is>
      </c>
      <c r="B11" s="44" t="n"/>
    </row>
    <row r="12" ht="30" customHeight="1" s="28">
      <c r="A12" s="43" t="inlineStr">
        <is>
          <t>Interview scheduling replies (availability windows only)</t>
        </is>
      </c>
      <c r="B12" s="44" t="n"/>
    </row>
    <row r="13" ht="18" customHeight="1" s="28">
      <c r="A13" s="43" t="inlineStr">
        <is>
          <t>Resume requests by email</t>
        </is>
      </c>
      <c r="B13" s="44" t="n"/>
    </row>
    <row r="14" ht="18" customHeight="1" s="28">
      <c r="A14" s="43" t="inlineStr">
        <is>
          <t>Follow-up nudges on quiet applications</t>
        </is>
      </c>
      <c r="B14" s="44" t="n"/>
    </row>
    <row r="15" ht="18" customHeight="1" s="28">
      <c r="A15" s="43" t="inlineStr">
        <is>
          <t>LinkedIn replies to recruiters</t>
        </is>
      </c>
      <c r="B15" s="44" t="n"/>
    </row>
    <row r="16" ht="18" customHeight="1" s="28">
      <c r="A16" s="43" t="inlineStr">
        <is>
          <t>LinkedIn outreach to hiring managers</t>
        </is>
      </c>
      <c r="B16" s="44" t="n"/>
    </row>
    <row r="17" ht="18" customHeight="1" s="28">
      <c r="A17" s="43" t="inlineStr">
        <is>
          <t>Declining contract / C2C pitches</t>
        </is>
      </c>
      <c r="B17" s="44" t="n"/>
    </row>
    <row r="18" ht="30" customHeight="1" s="28">
      <c r="A18" s="53" t="inlineStr">
        <is>
          <t>Always held for you regardless of the above: salary numbers, a single binding call time, exclusivity, documents beyond your resume, sensitive-data requests, anything that looks like a scam.</t>
        </is>
      </c>
    </row>
    <row r="19"/>
    <row r="20" ht="21.75" customHeight="1" s="28">
      <c r="A20" s="31" t="inlineStr">
        <is>
          <t>Notifications</t>
        </is>
      </c>
    </row>
    <row r="21" ht="18" customHeight="1" s="28">
      <c r="A21" s="43" t="inlineStr">
        <is>
          <t>How often do you want updates?</t>
        </is>
      </c>
      <c r="B21" s="44" t="n"/>
    </row>
    <row r="22" ht="18" customHeight="1" s="28">
      <c r="A22" s="43" t="inlineStr">
        <is>
          <t>Best channel for quick questions</t>
        </is>
      </c>
      <c r="B22" s="44" t="n"/>
    </row>
    <row r="23" ht="18" customHeight="1" s="28">
      <c r="A23" s="43" t="inlineStr">
        <is>
          <t>Best times to reach you</t>
        </is>
      </c>
      <c r="B23" s="44" t="n"/>
    </row>
    <row r="24" ht="30" customHeight="1" s="28">
      <c r="A24" s="43" t="inlineStr">
        <is>
          <t>Interview invites and offers: tell me immediately?</t>
        </is>
      </c>
      <c r="B24" s="44" t="n"/>
    </row>
    <row r="25"/>
    <row r="26" ht="21.75" customHeight="1" s="28">
      <c r="A26" s="31" t="inlineStr">
        <is>
          <t>Do-not-contact</t>
        </is>
      </c>
    </row>
    <row r="27" ht="30" customHeight="1" s="28">
      <c r="A27" s="43" t="inlineStr">
        <is>
          <t>Recruiters or people we must never reply to (name, company)</t>
        </is>
      </c>
      <c r="B27" s="44" t="n"/>
    </row>
    <row r="28" ht="18" customHeight="1" s="28">
      <c r="A28" s="43" t="inlineStr">
        <is>
          <t>Anything else about tone or style in messages</t>
        </is>
      </c>
      <c r="B28" s="44" t="n"/>
    </row>
  </sheetData>
  <mergeCells count="7">
    <mergeCell ref="A10:C10"/>
    <mergeCell ref="A20:C20"/>
    <mergeCell ref="A1:C1"/>
    <mergeCell ref="A18:C18"/>
    <mergeCell ref="A4:C4"/>
    <mergeCell ref="A26:C26"/>
    <mergeCell ref="A2:C2"/>
  </mergeCells>
  <conditionalFormatting sqref="B5">
    <cfRule type="expression" rank="0" priority="2" equalAverage="0" aboveAverage="0" dxfId="1" text="" percent="0" bottom="0">
      <formula>ISBLANK(B5)</formula>
    </cfRule>
  </conditionalFormatting>
  <conditionalFormatting sqref="B6">
    <cfRule type="expression" rank="0" priority="3" equalAverage="0" aboveAverage="0" dxfId="1" text="" percent="0" bottom="0">
      <formula>ISBLANK(B6)</formula>
    </cfRule>
  </conditionalFormatting>
  <conditionalFormatting sqref="B7">
    <cfRule type="expression" rank="0" priority="4" equalAverage="0" aboveAverage="0" dxfId="1" text="" percent="0" bottom="0">
      <formula>ISBLANK(B7)</formula>
    </cfRule>
  </conditionalFormatting>
  <conditionalFormatting sqref="B8">
    <cfRule type="expression" rank="0" priority="5" equalAverage="0" aboveAverage="0" dxfId="1" text="" percent="0" bottom="0">
      <formula>ISBLANK(B8)</formula>
    </cfRule>
  </conditionalFormatting>
  <conditionalFormatting sqref="B11">
    <cfRule type="expression" rank="0" priority="6" equalAverage="0" aboveAverage="0" dxfId="1" text="" percent="0" bottom="0">
      <formula>ISBLANK(B11)</formula>
    </cfRule>
  </conditionalFormatting>
  <conditionalFormatting sqref="B12">
    <cfRule type="expression" rank="0" priority="7" equalAverage="0" aboveAverage="0" dxfId="1" text="" percent="0" bottom="0">
      <formula>ISBLANK(B12)</formula>
    </cfRule>
  </conditionalFormatting>
  <conditionalFormatting sqref="B13">
    <cfRule type="expression" rank="0" priority="8" equalAverage="0" aboveAverage="0" dxfId="1" text="" percent="0" bottom="0">
      <formula>ISBLANK(B13)</formula>
    </cfRule>
  </conditionalFormatting>
  <conditionalFormatting sqref="B14">
    <cfRule type="expression" rank="0" priority="9" equalAverage="0" aboveAverage="0" dxfId="1" text="" percent="0" bottom="0">
      <formula>ISBLANK(B14)</formula>
    </cfRule>
  </conditionalFormatting>
  <conditionalFormatting sqref="B15">
    <cfRule type="expression" rank="0" priority="10" equalAverage="0" aboveAverage="0" dxfId="1" text="" percent="0" bottom="0">
      <formula>ISBLANK(B15)</formula>
    </cfRule>
  </conditionalFormatting>
  <conditionalFormatting sqref="B16">
    <cfRule type="expression" rank="0" priority="11" equalAverage="0" aboveAverage="0" dxfId="1" text="" percent="0" bottom="0">
      <formula>ISBLANK(B16)</formula>
    </cfRule>
  </conditionalFormatting>
  <conditionalFormatting sqref="B17">
    <cfRule type="expression" rank="0" priority="12" equalAverage="0" aboveAverage="0" dxfId="1" text="" percent="0" bottom="0">
      <formula>ISBLANK(B17)</formula>
    </cfRule>
  </conditionalFormatting>
  <conditionalFormatting sqref="B21">
    <cfRule type="expression" rank="0" priority="13" equalAverage="0" aboveAverage="0" dxfId="1" text="" percent="0" bottom="0">
      <formula>ISBLANK(B21)</formula>
    </cfRule>
  </conditionalFormatting>
  <conditionalFormatting sqref="B22">
    <cfRule type="expression" rank="0" priority="14" equalAverage="0" aboveAverage="0" dxfId="1" text="" percent="0" bottom="0">
      <formula>ISBLANK(B22)</formula>
    </cfRule>
  </conditionalFormatting>
  <conditionalFormatting sqref="B23">
    <cfRule type="expression" rank="0" priority="15" equalAverage="0" aboveAverage="0" dxfId="1" text="" percent="0" bottom="0">
      <formula>ISBLANK(B23)</formula>
    </cfRule>
  </conditionalFormatting>
  <conditionalFormatting sqref="B24">
    <cfRule type="expression" rank="0" priority="16" equalAverage="0" aboveAverage="0" dxfId="1" text="" percent="0" bottom="0">
      <formula>ISBLANK(B24)</formula>
    </cfRule>
  </conditionalFormatting>
  <dataValidations count="11">
    <dataValidation sqref="B7" showDropDown="0" showInputMessage="0" showErrorMessage="1" allowBlank="0" errorTitle="Pick from the list" error="Use the dropdown arrow to choose one of the options." type="list" errorStyle="stop" operator="between">
      <formula1>Lists!$X$2:$X$4</formula1>
      <formula2>0</formula2>
    </dataValidation>
    <dataValidation sqref="B11" showDropDown="0" showInputMessage="0" showErrorMessage="1" allowBlank="0" errorTitle="Pick from the list" error="Use the dropdown arrow to choose one of the options." type="list" errorStyle="stop" operator="between">
      <formula1>Lists!$U$2:$U$4</formula1>
      <formula2>0</formula2>
    </dataValidation>
    <dataValidation sqref="B12" showDropDown="0" showInputMessage="0" showErrorMessage="1" allowBlank="0" errorTitle="Pick from the list" error="Use the dropdown arrow to choose one of the options." type="list" errorStyle="stop" operator="between">
      <formula1>Lists!$U$2:$U$4</formula1>
      <formula2>0</formula2>
    </dataValidation>
    <dataValidation sqref="B13" showDropDown="0" showInputMessage="0" showErrorMessage="1" allowBlank="0" errorTitle="Pick from the list" error="Use the dropdown arrow to choose one of the options." type="list" errorStyle="stop" operator="between">
      <formula1>Lists!$U$2:$U$4</formula1>
      <formula2>0</formula2>
    </dataValidation>
    <dataValidation sqref="B14" showDropDown="0" showInputMessage="0" showErrorMessage="1" allowBlank="0" errorTitle="Pick from the list" error="Use the dropdown arrow to choose one of the options." type="list" errorStyle="stop" operator="between">
      <formula1>Lists!$U$2:$U$4</formula1>
      <formula2>0</formula2>
    </dataValidation>
    <dataValidation sqref="B15" showDropDown="0" showInputMessage="0" showErrorMessage="1" allowBlank="0" errorTitle="Pick from the list" error="Use the dropdown arrow to choose one of the options." type="list" errorStyle="stop" operator="between">
      <formula1>Lists!$U$2:$U$4</formula1>
      <formula2>0</formula2>
    </dataValidation>
    <dataValidation sqref="B16" showDropDown="0" showInputMessage="0" showErrorMessage="1" allowBlank="0" errorTitle="Pick from the list" error="Use the dropdown arrow to choose one of the options." type="list" errorStyle="stop" operator="between">
      <formula1>Lists!$U$2:$U$4</formula1>
      <formula2>0</formula2>
    </dataValidation>
    <dataValidation sqref="B17" showDropDown="0" showInputMessage="0" showErrorMessage="1" allowBlank="0" errorTitle="Pick from the list" error="Use the dropdown arrow to choose one of the options." type="list" errorStyle="stop" operator="between">
      <formula1>Lists!$U$2:$U$4</formula1>
      <formula2>0</formula2>
    </dataValidation>
    <dataValidation sqref="B21" showDropDown="0" showInputMessage="0" showErrorMessage="1" allowBlank="0" errorTitle="Pick from the list" error="Use the dropdown arrow to choose one of the options." type="list" errorStyle="stop" operator="between">
      <formula1>Lists!$V$2:$V$5</formula1>
      <formula2>0</formula2>
    </dataValidation>
    <dataValidation sqref="B22" showDropDown="0" showInputMessage="0" showErrorMessage="1" allowBlank="0" errorTitle="Pick from the list" error="Use the dropdown arrow to choose one of the options." type="list" errorStyle="stop" operator="between">
      <formula1>Lists!$W$2:$W$6</formula1>
      <formula2>0</formula2>
    </dataValidation>
    <dataValidation sqref="B24" showDropDown="0" showInputMessage="0" showErrorMessage="1" allowBlank="0" errorTitle="Pick from the list" error="Use the dropdown arrow to choose one of the options." type="list" errorStyle="stop" operator="between">
      <formula1>Lists!$A$2:$A$3</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B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0" customWidth="1" style="27" min="1" max="1"/>
    <col width="22" customWidth="1" style="27" min="2" max="2"/>
  </cols>
  <sheetData>
    <row r="1" ht="30" customHeight="1" s="28">
      <c r="A1" s="29" t="inlineStr">
        <is>
          <t>Confirm and return</t>
        </is>
      </c>
    </row>
    <row r="2" ht="31.5" customHeight="1" s="28">
      <c r="A2" s="30" t="inlineStr">
        <is>
          <t>Read each line, pick Yes, add your name and date. This is what we build from.</t>
        </is>
      </c>
    </row>
    <row r="3"/>
    <row r="4" ht="30" customHeight="1" s="28">
      <c r="A4" s="54" t="inlineStr">
        <is>
          <t>Everything in this form is true and I have not inflated years, titles or skills.</t>
        </is>
      </c>
      <c r="B4" s="51" t="n"/>
    </row>
    <row r="5" ht="30" customHeight="1" s="28">
      <c r="A5" s="54" t="inlineStr">
        <is>
          <t>I have attached the resume files named on the Resumes tab.</t>
        </is>
      </c>
      <c r="B5" s="51" t="n"/>
    </row>
    <row r="6" ht="30" customHeight="1" s="28">
      <c r="A6" s="54" t="inlineStr">
        <is>
          <t>I understand nothing is submitted anywhere until the shadow week ends and I approve go-live.</t>
        </is>
      </c>
      <c r="B6" s="51" t="n"/>
    </row>
    <row r="7" ht="30" customHeight="1" s="28">
      <c r="A7" s="54" t="inlineStr">
        <is>
          <t>I understand the automation acts on my accounts under the caps on the Automation Settings tab.</t>
        </is>
      </c>
      <c r="B7" s="51" t="n"/>
    </row>
    <row r="8" ht="30" customHeight="1" s="28">
      <c r="A8" s="54" t="inlineStr">
        <is>
          <t>I understand automated LinkedIn activity carries platform-policy risk and I accept it.</t>
        </is>
      </c>
      <c r="B8" s="51" t="n"/>
    </row>
    <row r="9" ht="30" customHeight="1" s="28">
      <c r="A9" s="54" t="inlineStr">
        <is>
          <t>I will tell you if I get an offer, accept a role or want everything paused ('Wait' stops all activity).</t>
        </is>
      </c>
      <c r="B9" s="51" t="n"/>
    </row>
    <row r="10" ht="30" customHeight="1" s="28">
      <c r="A10" s="54" t="inlineStr">
        <is>
          <t>I have not written any password, code or payment detail anywhere in this file.</t>
        </is>
      </c>
      <c r="B10" s="51" t="n"/>
    </row>
    <row r="11"/>
    <row r="12" ht="18" customHeight="1" s="28">
      <c r="A12" s="43" t="inlineStr">
        <is>
          <t>Your name</t>
        </is>
      </c>
      <c r="B12" s="44" t="n"/>
    </row>
    <row r="13" ht="18" customHeight="1" s="28">
      <c r="A13" s="43" t="inlineStr">
        <is>
          <t>Date (YYYY-MM-DD)</t>
        </is>
      </c>
      <c r="B13" s="44" t="n"/>
    </row>
  </sheetData>
  <mergeCells count="2">
    <mergeCell ref="A2:B2"/>
    <mergeCell ref="A1:B1"/>
  </mergeCells>
  <conditionalFormatting sqref="B4">
    <cfRule type="expression" rank="0" priority="2" equalAverage="0" aboveAverage="0" dxfId="1" text="" percent="0" bottom="0">
      <formula>ISBLANK(B4)</formula>
    </cfRule>
  </conditionalFormatting>
  <conditionalFormatting sqref="B5">
    <cfRule type="expression" rank="0" priority="3" equalAverage="0" aboveAverage="0" dxfId="1" text="" percent="0" bottom="0">
      <formula>ISBLANK(B5)</formula>
    </cfRule>
  </conditionalFormatting>
  <conditionalFormatting sqref="B6">
    <cfRule type="expression" rank="0" priority="4" equalAverage="0" aboveAverage="0" dxfId="1" text="" percent="0" bottom="0">
      <formula>ISBLANK(B6)</formula>
    </cfRule>
  </conditionalFormatting>
  <conditionalFormatting sqref="B7">
    <cfRule type="expression" rank="0" priority="5" equalAverage="0" aboveAverage="0" dxfId="1" text="" percent="0" bottom="0">
      <formula>ISBLANK(B7)</formula>
    </cfRule>
  </conditionalFormatting>
  <conditionalFormatting sqref="B8">
    <cfRule type="expression" rank="0" priority="6" equalAverage="0" aboveAverage="0" dxfId="1" text="" percent="0" bottom="0">
      <formula>ISBLANK(B8)</formula>
    </cfRule>
  </conditionalFormatting>
  <conditionalFormatting sqref="B9">
    <cfRule type="expression" rank="0" priority="7" equalAverage="0" aboveAverage="0" dxfId="1" text="" percent="0" bottom="0">
      <formula>ISBLANK(B9)</formula>
    </cfRule>
  </conditionalFormatting>
  <conditionalFormatting sqref="B10">
    <cfRule type="expression" rank="0" priority="8" equalAverage="0" aboveAverage="0" dxfId="1" text="" percent="0" bottom="0">
      <formula>ISBLANK(B10)</formula>
    </cfRule>
  </conditionalFormatting>
  <conditionalFormatting sqref="B12">
    <cfRule type="expression" rank="0" priority="9" equalAverage="0" aboveAverage="0" dxfId="1" text="" percent="0" bottom="0">
      <formula>ISBLANK(B12)</formula>
    </cfRule>
  </conditionalFormatting>
  <conditionalFormatting sqref="B13">
    <cfRule type="expression" rank="0" priority="10" equalAverage="0" aboveAverage="0" dxfId="1" text="" percent="0" bottom="0">
      <formula>ISBLANK(B13)</formula>
    </cfRule>
  </conditionalFormatting>
  <dataValidations count="7">
    <dataValidation sqref="B4" showDropDown="0" showInputMessage="0" showErrorMessage="1" allowBlank="0" errorTitle="Pick from the list" error="Use the dropdown arrow to choose one of the options." type="list" errorStyle="stop" operator="between">
      <formula1>Lists!$A$2:$A$3</formula1>
      <formula2>0</formula2>
    </dataValidation>
    <dataValidation sqref="B5" showDropDown="0" showInputMessage="0" showErrorMessage="1" allowBlank="0" errorTitle="Pick from the list" error="Use the dropdown arrow to choose one of the options." type="list" errorStyle="stop" operator="between">
      <formula1>Lists!$A$2:$A$3</formula1>
      <formula2>0</formula2>
    </dataValidation>
    <dataValidation sqref="B6" showDropDown="0" showInputMessage="0" showErrorMessage="1" allowBlank="0" errorTitle="Pick from the list" error="Use the dropdown arrow to choose one of the options." type="list" errorStyle="stop" operator="between">
      <formula1>Lists!$A$2:$A$3</formula1>
      <formula2>0</formula2>
    </dataValidation>
    <dataValidation sqref="B7" showDropDown="0" showInputMessage="0" showErrorMessage="1" allowBlank="0" errorTitle="Pick from the list" error="Use the dropdown arrow to choose one of the options." type="list" errorStyle="stop" operator="between">
      <formula1>Lists!$A$2:$A$3</formula1>
      <formula2>0</formula2>
    </dataValidation>
    <dataValidation sqref="B8" showDropDown="0" showInputMessage="0" showErrorMessage="1" allowBlank="0" errorTitle="Pick from the list" error="Use the dropdown arrow to choose one of the options." type="list" errorStyle="stop" operator="between">
      <formula1>Lists!$A$2:$A$3</formula1>
      <formula2>0</formula2>
    </dataValidation>
    <dataValidation sqref="B9" showDropDown="0" showInputMessage="0" showErrorMessage="1" allowBlank="0" errorTitle="Pick from the list" error="Use the dropdown arrow to choose one of the options." type="list" errorStyle="stop" operator="between">
      <formula1>Lists!$A$2:$A$3</formula1>
      <formula2>0</formula2>
    </dataValidation>
    <dataValidation sqref="B10" showDropDown="0" showInputMessage="0" showErrorMessage="1" allowBlank="0" errorTitle="Pick from the list" error="Use the dropdown arrow to choose one of the options." type="list" errorStyle="stop" operator="between">
      <formula1>Lists!$A$2:$A$3</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2026-09-26T16:26:58Z</dcterms:created>
  <dcterms:modified xmlns:dcterms="http://purl.org/dc/terms/" xmlns:xsi="http://www.w3.org/2001/XMLSchema-instance" xsi:type="dcterms:W3CDTF">2026-09-26T18:26:10+00:00Z</dcterms:modified>
  <cp:revision>0</cp:revision>
</cp:coreProperties>
</file>